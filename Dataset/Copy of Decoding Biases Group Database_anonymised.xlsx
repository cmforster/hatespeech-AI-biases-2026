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Feuille 2" sheetId="2" r:id="rId6"/>
    <sheet state="visible" name="Findings" sheetId="3" r:id="rId7"/>
    <sheet state="visible" name="Feuille 4" sheetId="4" r:id="rId8"/>
  </sheets>
  <definedNames>
    <definedName hidden="1" localSheetId="0" name="_xlnm._FilterDatabase">'Feuille 1'!$A$1:$Y$501</definedName>
  </definedNames>
  <calcPr/>
</workbook>
</file>

<file path=xl/sharedStrings.xml><?xml version="1.0" encoding="utf-8"?>
<sst xmlns="http://schemas.openxmlformats.org/spreadsheetml/2006/main" count="9832" uniqueCount="2101">
  <si>
    <t>POST NUMBER</t>
  </si>
  <si>
    <t>POST DATASET ID</t>
  </si>
  <si>
    <t>POST</t>
  </si>
  <si>
    <t>Target Group</t>
  </si>
  <si>
    <t>Target Group (Id. by Grok)</t>
  </si>
  <si>
    <t>Target Group (Id by Claude)</t>
  </si>
  <si>
    <t>Human #1</t>
  </si>
  <si>
    <t>Human #2</t>
  </si>
  <si>
    <t>Grok</t>
  </si>
  <si>
    <t xml:space="preserve">Claude AI </t>
  </si>
  <si>
    <t>Human Annotator #1</t>
  </si>
  <si>
    <t>Human Annotator #2</t>
  </si>
  <si>
    <t>Platform of Origin</t>
  </si>
  <si>
    <t>Study Annotator #1 Classification</t>
  </si>
  <si>
    <t>Study Annotator #1 Target Group</t>
  </si>
  <si>
    <t>Study Annotator #2 Classification</t>
  </si>
  <si>
    <t>Study Annotator #2 Target Group</t>
  </si>
  <si>
    <t>Study Annotator #3 Classification</t>
  </si>
  <si>
    <t>Study Annotator #3 Target Group</t>
  </si>
  <si>
    <t>"Normal" Class. Count</t>
  </si>
  <si>
    <t>"Offensive" Class. Count</t>
  </si>
  <si>
    <t>"Hate Speech" Class. Count</t>
  </si>
  <si>
    <t>Completeness Score</t>
  </si>
  <si>
    <t>Majority?</t>
  </si>
  <si>
    <t>Standard Deviation</t>
  </si>
  <si>
    <t>001</t>
  </si>
  <si>
    <t>21376810_gab</t>
  </si>
  <si>
    <t>exactly if a low iq nigger from africa who can not read can understand islam i think i can understand kill the kuffar nothing subtle lost on me</t>
  </si>
  <si>
    <r>
      <rPr>
        <rFont val="Arial"/>
        <color theme="1"/>
      </rPr>
      <t xml:space="preserve">African, </t>
    </r>
    <r>
      <rPr>
        <rFont val="Arial"/>
        <color rgb="FFFF0000"/>
      </rPr>
      <t>Muslim</t>
    </r>
  </si>
  <si>
    <t>AfricanBlack, Muslim</t>
  </si>
  <si>
    <t>Black people, Muslims</t>
  </si>
  <si>
    <t>Offensive</t>
  </si>
  <si>
    <t>Hate Speech</t>
  </si>
  <si>
    <t>GM#5</t>
  </si>
  <si>
    <t>GM#4</t>
  </si>
  <si>
    <t>Gab</t>
  </si>
  <si>
    <t>hatespeech</t>
  </si>
  <si>
    <t>African</t>
  </si>
  <si>
    <t>African, Buddhism</t>
  </si>
  <si>
    <t>002</t>
  </si>
  <si>
    <t>1080843707643944965_twitter</t>
  </si>
  <si>
    <t>&lt;user&gt; yes because it is and i sound so broken bitch when did i have feelings</t>
  </si>
  <si>
    <t>None</t>
  </si>
  <si>
    <t>Women</t>
  </si>
  <si>
    <t>N/A</t>
  </si>
  <si>
    <t>Normal</t>
  </si>
  <si>
    <t>GM#3</t>
  </si>
  <si>
    <t>Twitter</t>
  </si>
  <si>
    <t>normal</t>
  </si>
  <si>
    <t>offensive</t>
  </si>
  <si>
    <t>003</t>
  </si>
  <si>
    <t>1178183797461811200_twitter</t>
  </si>
  <si>
    <t>a white man tired to slide the phase i was the nigger when describing his up bringing in japan tonight at dinner white privilege continues to be heavy people have such low level of compassion no one is hiding their racism anymore</t>
  </si>
  <si>
    <t>AfricanBlack</t>
  </si>
  <si>
    <t>Black people</t>
  </si>
  <si>
    <t>GM#1</t>
  </si>
  <si>
    <t>004</t>
  </si>
  <si>
    <t>1178917247626203136_twitter</t>
  </si>
  <si>
    <t>&lt;user&gt; &lt;user&gt; &lt;user&gt; &lt;user&gt; &lt;user&gt; trump said he loves the educated he loves the uneducated he loves men he loves women he loves legal immigrants he loves americans people with severe tds omg trump said he prefers dumb white uneducated men</t>
  </si>
  <si>
    <t xml:space="preserve">Education, Woman, Immigrant, Americans, </t>
  </si>
  <si>
    <t>White People</t>
  </si>
  <si>
    <t>GM#2</t>
  </si>
  <si>
    <t>Caucasian</t>
  </si>
  <si>
    <t>005</t>
  </si>
  <si>
    <t>19332653_gab</t>
  </si>
  <si>
    <t>rotherham is the trigger for the world whites allowing the rape of white children by paki muslims and covered up for diversity means many mps councillors police should be swinging from a rope and any fucked up media rep who refuses to see the truth</t>
  </si>
  <si>
    <t>Muslim</t>
  </si>
  <si>
    <t>Muslim, Asian (Pakistani)</t>
  </si>
  <si>
    <t>Muslims, Politicians</t>
  </si>
  <si>
    <t>006</t>
  </si>
  <si>
    <t>9841810_gab</t>
  </si>
  <si>
    <t>jews couch their distrust of whites as if it were a logical response to random violence that we routinely heap upon them because of our barbaric gentile ways the truth though is that they want us gone because we are the only ones who routinely oppose their nefarious schemes for domination</t>
  </si>
  <si>
    <t>Jewish</t>
  </si>
  <si>
    <t>Jewish people</t>
  </si>
  <si>
    <t>007</t>
  </si>
  <si>
    <t>1218921638139326467_twitter</t>
  </si>
  <si>
    <t>i need my back cracked like a mf glow stick by them tiny little asians in la</t>
  </si>
  <si>
    <t>Asian</t>
  </si>
  <si>
    <t>ChineseAsian</t>
  </si>
  <si>
    <t>Asian, Women</t>
  </si>
  <si>
    <t>008</t>
  </si>
  <si>
    <t>1087224984639033344_twitter</t>
  </si>
  <si>
    <t>&lt;user&gt; if u were askin her out would she not realize ur not gay</t>
  </si>
  <si>
    <t>Homosexual</t>
  </si>
  <si>
    <t>LGBTQ+</t>
  </si>
  <si>
    <t>009</t>
  </si>
  <si>
    <t>1178639561502707713_twitter</t>
  </si>
  <si>
    <t>this happens a lot in the makeup beauty community gay men think that the women who have a problem with drag queens or with gay men using misogynistic slurs etc all must be str8 girls who do not know how the lgbt community works guess what dykes hate you too</t>
  </si>
  <si>
    <t>Homosexual, Queer</t>
  </si>
  <si>
    <t>Gay men, Women</t>
  </si>
  <si>
    <t>010</t>
  </si>
  <si>
    <t>20156398_gab</t>
  </si>
  <si>
    <t>of course there will always be white actors and actresses it just they are slated to always play villains and nigger whores western pop culture is devolving into niggerdom at such frightening pace it truly is painful to watch</t>
  </si>
  <si>
    <t>African, Woman</t>
  </si>
  <si>
    <t>Women, African</t>
  </si>
  <si>
    <t>African, Women</t>
  </si>
  <si>
    <t>011</t>
  </si>
  <si>
    <t>1080898632050724864_twitter</t>
  </si>
  <si>
    <t>gt raped by light &lt;user&gt; &lt;user&gt;</t>
  </si>
  <si>
    <t>Victims of SA</t>
  </si>
  <si>
    <t>012</t>
  </si>
  <si>
    <t>2644271_gab</t>
  </si>
  <si>
    <t>fakenews that would be the mainstream media cnn msm msnbc cbs nbc etc so please stop blaming us the voter and the alternative media for your stupidity and you going full retard</t>
  </si>
  <si>
    <t>Journalists, Liberal</t>
  </si>
  <si>
    <t>Liberals / Media</t>
  </si>
  <si>
    <t>Other</t>
  </si>
  <si>
    <t>013</t>
  </si>
  <si>
    <t>1181320554227359745_twitter</t>
  </si>
  <si>
    <t>&lt;user&gt; whoever picked mineecraft is fuckign retarded</t>
  </si>
  <si>
    <t>Disability</t>
  </si>
  <si>
    <t>People with disabilities</t>
  </si>
  <si>
    <t>014</t>
  </si>
  <si>
    <t>12856688_gab</t>
  </si>
  <si>
    <t>two terror attacks on anglo american cities in one night when is enough enough tolerance is the virtue of a dying society trump better come down hard a moslem ban is a good start but we need an exit strategy we need to deport all moslems now lasvegas canadaterrorattack edmonton</t>
  </si>
  <si>
    <t>Muslim people</t>
  </si>
  <si>
    <t>Islam</t>
  </si>
  <si>
    <t>Arab, Islam</t>
  </si>
  <si>
    <t>015</t>
  </si>
  <si>
    <t>13279118_gab</t>
  </si>
  <si>
    <t>weak milquetoast faggots like you will never change america you are just another civic nationalist cuckold pussy too scared to even talk about race because you are such a chickenshit so scared like a woman of being called a wayciss or a white supwemasiss lol what a nutless coward</t>
  </si>
  <si>
    <t>Homosexual, Caucasian</t>
  </si>
  <si>
    <t>Gay people</t>
  </si>
  <si>
    <t>Homosexual, Women</t>
  </si>
  <si>
    <t>Homosexual, Caucasian, Women</t>
  </si>
  <si>
    <t>016</t>
  </si>
  <si>
    <t>4464004_gab</t>
  </si>
  <si>
    <t>journalists are showing themselves to be the retarded liberals they are the tradition of ap can die the traditional press corps can die in gas station bathrooms</t>
  </si>
  <si>
    <t>People with disabilities, Liberals</t>
  </si>
  <si>
    <t>017</t>
  </si>
  <si>
    <t>1178643287873335296_twitter</t>
  </si>
  <si>
    <t>feel phylliscitations to daff mr hairwigger who has just hadded twinned little curls he was resting between horrockses sheets wailing for white warfare prooboor welsht breton</t>
  </si>
  <si>
    <t>AfricanBlack, Caucasian</t>
  </si>
  <si>
    <t>018</t>
  </si>
  <si>
    <t>4496379_gab</t>
  </si>
  <si>
    <t>detention space for illegal immigrants oh my dare i say concentration camps gas the spics border war now in all seriousness detention camps are necessary you can not let beaners roam around raping and pillaging you have to lock up all the taco niggers until you are ready to remove them</t>
  </si>
  <si>
    <t>Immigrant, African</t>
  </si>
  <si>
    <t>Hispanic people, Black people</t>
  </si>
  <si>
    <t>Hispanic people</t>
  </si>
  <si>
    <t>Hispanic</t>
  </si>
  <si>
    <t>Refugee, Hispanic</t>
  </si>
  <si>
    <t>019</t>
  </si>
  <si>
    <t>1086417563444232194_twitter</t>
  </si>
  <si>
    <t>&lt;user&gt; let be honest multiculturalism is just a euphemism for hostile takeover by jews and non whites</t>
  </si>
  <si>
    <t>African, Arab, Asian, Hispanic, Jewish</t>
  </si>
  <si>
    <t>020</t>
  </si>
  <si>
    <t>23292228_gab</t>
  </si>
  <si>
    <t>basically if the democrats want something it because they figure that in the long run it makes it easier for gay latino muslims to rape your kids mpcstatusupdates</t>
  </si>
  <si>
    <t>Democrat, Latino, Muslim</t>
  </si>
  <si>
    <t>Muslim, Latino, LGBTQ+</t>
  </si>
  <si>
    <t>Hispanic, Islam</t>
  </si>
  <si>
    <t>Homosexual, Arab, Hispanic, Islam, Men, Women</t>
  </si>
  <si>
    <t>Arab, Hispanic, Islam</t>
  </si>
  <si>
    <t>021</t>
  </si>
  <si>
    <t>21333143_gab</t>
  </si>
  <si>
    <t>are they 2 nd 3 rd 4 th wives the muslim child birth rate is out of control and the &lt;number&gt; bastard are letting it carry on they really believe that soft politics will curb their desire to have a calliohate in the uk &lt;number&gt; mps and so delusional and dangerous</t>
  </si>
  <si>
    <t>Muslims</t>
  </si>
  <si>
    <t>022</t>
  </si>
  <si>
    <t>12787888_gab</t>
  </si>
  <si>
    <t>it a proven medical fact that retards do not know how to use punctuation in a sentence it also a fact that only a homo can tolerate homos do you pitch or catch or both</t>
  </si>
  <si>
    <t>Homosexual, Disabled</t>
  </si>
  <si>
    <t>People with disabilities, Gay people</t>
  </si>
  <si>
    <t>Gay people, People with disabilities</t>
  </si>
  <si>
    <t xml:space="preserve">Offensive </t>
  </si>
  <si>
    <t>Homosexual, Men, Other</t>
  </si>
  <si>
    <t>Homosexual, Other</t>
  </si>
  <si>
    <t>023</t>
  </si>
  <si>
    <t>2901472_gab</t>
  </si>
  <si>
    <t>&lt;user&gt; he should resign and then commit hara kiri in front of those bloody thirsty muslim scumbag camel jockeys</t>
  </si>
  <si>
    <t>Muslim, Arab</t>
  </si>
  <si>
    <t>Arab, Islam, Men, Women</t>
  </si>
  <si>
    <t>024</t>
  </si>
  <si>
    <t>1179086548907610113_twitter</t>
  </si>
  <si>
    <t>&lt;user&gt; i am trynna make it a non gay offensive slur lol i only call non gays faggots you a faggot if you got some bitchassness in you feel me</t>
  </si>
  <si>
    <t>025</t>
  </si>
  <si>
    <t>14879780_gab</t>
  </si>
  <si>
    <t>attacking the retard left is lame any way they block you for saying nices things to them</t>
  </si>
  <si>
    <r>
      <rPr>
        <rFont val="Arial"/>
        <color theme="1"/>
      </rPr>
      <t xml:space="preserve">Liberal, </t>
    </r>
    <r>
      <rPr>
        <rFont val="Arial"/>
        <color rgb="FFFF0000"/>
      </rPr>
      <t>Disability</t>
    </r>
  </si>
  <si>
    <t>Men, Women, Other</t>
  </si>
  <si>
    <t>026</t>
  </si>
  <si>
    <t>1164945865603211264_twitter</t>
  </si>
  <si>
    <t>i ain ’ t even gone speak on it just know niggas ain ’ t who they claim to be on this social media shit</t>
  </si>
  <si>
    <t>-</t>
  </si>
  <si>
    <t xml:space="preserve">Normal </t>
  </si>
  <si>
    <t>Men, Women</t>
  </si>
  <si>
    <t>027</t>
  </si>
  <si>
    <t>24683696_gab</t>
  </si>
  <si>
    <t>lil fag is also a wannabe sand nigger</t>
  </si>
  <si>
    <t>Homosexual, Arab</t>
  </si>
  <si>
    <t>Homosexual, Arab, Muslim</t>
  </si>
  <si>
    <t>Middle Eastern people</t>
  </si>
  <si>
    <t>Arab, Homosexual</t>
  </si>
  <si>
    <t>African, Homosexual</t>
  </si>
  <si>
    <t>028</t>
  </si>
  <si>
    <t>1178935990074974208_twitter</t>
  </si>
  <si>
    <t>like literally what the actual fuck i am so mad at this this meme is stupid having nazi and shit but literally says trans fucking niggers this already giving me blackface vibes like this is crossing the line between being a black person</t>
  </si>
  <si>
    <t xml:space="preserve">Transgender, Black </t>
  </si>
  <si>
    <t>Black People</t>
  </si>
  <si>
    <t>029</t>
  </si>
  <si>
    <t>1178755558544936966_twitter</t>
  </si>
  <si>
    <t>&lt;user&gt; &lt;user&gt; she could not be president of the rag head club</t>
  </si>
  <si>
    <t>Arab, Muslim</t>
  </si>
  <si>
    <t>Arab</t>
  </si>
  <si>
    <t>Hindu</t>
  </si>
  <si>
    <t>030</t>
  </si>
  <si>
    <t>9839066_gab</t>
  </si>
  <si>
    <t>when the muzzies get their sorry shit together and bomb israel i will not feel sorry or shed a tear i will only lament the loss of christian sites and christian lives</t>
  </si>
  <si>
    <t>Muslims, Jewish people</t>
  </si>
  <si>
    <t>031</t>
  </si>
  <si>
    <t>11216949_gab</t>
  </si>
  <si>
    <t>for my part like jake blues i hate illinois nazis that nice i hate boomer faggots who think it hip to be down with the neegroes the blues man the blues so cool totally not the music of geriatric nigger loving cuck traitors they had sunglasses</t>
  </si>
  <si>
    <t>Homosexual, African</t>
  </si>
  <si>
    <t>AfricanBlack, Pro-nazi/nazi</t>
  </si>
  <si>
    <t>Jewish people, Gay people</t>
  </si>
  <si>
    <t>032</t>
  </si>
  <si>
    <t>15068033_gab</t>
  </si>
  <si>
    <t>do not you love when nazi wannabes complain about israel because hey like we do not want them here but we do not want them there either stupidity</t>
  </si>
  <si>
    <t>Pro-nazi/nazi</t>
  </si>
  <si>
    <t>Jewish People</t>
  </si>
  <si>
    <t>033</t>
  </si>
  <si>
    <t>1220545521682731008_twitter</t>
  </si>
  <si>
    <t>&lt;user&gt; &lt;user&gt; remember when you collaborated with neo nazis on a seth rich conspiracy documentary</t>
  </si>
  <si>
    <t>Jewish, Pro-nazi/nazi</t>
  </si>
  <si>
    <t>034</t>
  </si>
  <si>
    <t>1116946053478125571_twitter</t>
  </si>
  <si>
    <t>then hoes stole my choreo and still managed to make it look bad and lose with it lmfao</t>
  </si>
  <si>
    <t>Woman</t>
  </si>
  <si>
    <t>035</t>
  </si>
  <si>
    <t>19506620_gab</t>
  </si>
  <si>
    <t>fbi cover up smells of another muzrat terrorist attack</t>
  </si>
  <si>
    <t>036</t>
  </si>
  <si>
    <t>1179035441854443520_twitter</t>
  </si>
  <si>
    <t>white devils like it i am drinking coffee brought to me by white devils sidekicks</t>
  </si>
  <si>
    <t>Causasian</t>
  </si>
  <si>
    <t>White people</t>
  </si>
  <si>
    <t>037</t>
  </si>
  <si>
    <t>1211743854401064961_twitter</t>
  </si>
  <si>
    <t>i didn ’ t get a pedicure last rome i got my nails done n now my feet look brazy this is ghetto</t>
  </si>
  <si>
    <t>038</t>
  </si>
  <si>
    <t>13567394_gab</t>
  </si>
  <si>
    <t>this coons constituents voted for her just to get her out of their district they were embarrassed by her so they took out the trash</t>
  </si>
  <si>
    <t>039</t>
  </si>
  <si>
    <t>26510414_gab</t>
  </si>
  <si>
    <t>i think we are past the negotiation phase it time to issue an ultimatum all sand niggers and kikes out of america or get executed an invader</t>
  </si>
  <si>
    <t>Arab, Jewish</t>
  </si>
  <si>
    <t>AfricanBlack, Arab, Muslim, Jewish</t>
  </si>
  <si>
    <t>Middle Eastern people, Jewish people</t>
  </si>
  <si>
    <t>Arab, Jewish, Refugee</t>
  </si>
  <si>
    <t>040</t>
  </si>
  <si>
    <t>1165679759755530243_twitter</t>
  </si>
  <si>
    <t>we really finna elect biden with the appalling amount of rapey advances he made on camera with literal children damn lmfao</t>
  </si>
  <si>
    <t>Women (implied minors)</t>
  </si>
  <si>
    <t>Women, Children</t>
  </si>
  <si>
    <t>041</t>
  </si>
  <si>
    <t>1179084859832180736_twitter</t>
  </si>
  <si>
    <t>i just thought about wtf i am doing and i am fucking retarded</t>
  </si>
  <si>
    <t>042</t>
  </si>
  <si>
    <t>21605385_gab</t>
  </si>
  <si>
    <t>also benefits outed taxpayers money being spent on these inbreed moslem shite depleting monies available for nationals of this country and every country they inbreed in</t>
  </si>
  <si>
    <t>Minority, Islam</t>
  </si>
  <si>
    <t>Refugee, Islam</t>
  </si>
  <si>
    <t>043</t>
  </si>
  <si>
    <t>1177971370896039936_twitter</t>
  </si>
  <si>
    <t>niggers should suck white dick them faggots</t>
  </si>
  <si>
    <t>Black, Homosexual</t>
  </si>
  <si>
    <t>AfricanBlack, Homosexual</t>
  </si>
  <si>
    <t>Black people, Gay people</t>
  </si>
  <si>
    <t>044</t>
  </si>
  <si>
    <t>1182308262504353793_twitter</t>
  </si>
  <si>
    <t>&lt;user&gt; fuck islam or any religion that restricts such basic entertainment</t>
  </si>
  <si>
    <t>Muslim People</t>
  </si>
  <si>
    <t>Islam, Other</t>
  </si>
  <si>
    <t>045</t>
  </si>
  <si>
    <t>15500373_gab</t>
  </si>
  <si>
    <t>beat a guy from bejing in the world jousting final found a chink in his armour</t>
  </si>
  <si>
    <t>Chinese</t>
  </si>
  <si>
    <t>046</t>
  </si>
  <si>
    <t>18477154_gab</t>
  </si>
  <si>
    <t>&lt;user&gt; i am bi sexual and i hate the lgbt community cause all they ever do is bitch and fight</t>
  </si>
  <si>
    <t>LGBT people</t>
  </si>
  <si>
    <t>Homosexual, Men, Women</t>
  </si>
  <si>
    <t>047</t>
  </si>
  <si>
    <t>8699632_gab</t>
  </si>
  <si>
    <t>it not over exaggerated they are not rumours it not an average amount of crime in the time it took you to read this post a crime has been committed by a refugee in europe refugees are supposed to be fleeing persecution not enforcing it in a different country</t>
  </si>
  <si>
    <t>Refugee</t>
  </si>
  <si>
    <t>Immigrant, Refugee</t>
  </si>
  <si>
    <t>048</t>
  </si>
  <si>
    <t>1178503567474397184_twitter</t>
  </si>
  <si>
    <t>i heard kunle was raped by a white woman freshman year</t>
  </si>
  <si>
    <t>White Women</t>
  </si>
  <si>
    <t>049</t>
  </si>
  <si>
    <t>1179074853447639042_twitter</t>
  </si>
  <si>
    <t>&lt;user&gt; they are the ones who hang out with trust fund white bitches and date white man</t>
  </si>
  <si>
    <t>Caucasian, Woman</t>
  </si>
  <si>
    <t>Caucasian, Women</t>
  </si>
  <si>
    <t>Women, Caucasian</t>
  </si>
  <si>
    <t>050</t>
  </si>
  <si>
    <t>12646112_gab</t>
  </si>
  <si>
    <t>did not a nigger just shoot up a white church just wondering because i have not seen any politicians or media people screaming for any all to disavow black supremacy</t>
  </si>
  <si>
    <t>051</t>
  </si>
  <si>
    <t>1125367154742718464_twitter</t>
  </si>
  <si>
    <t>&lt;user&gt; &lt;user&gt; idk why people cheat cause if they truely madly and deeply love thier partners there wont be another bitch</t>
  </si>
  <si>
    <t>052</t>
  </si>
  <si>
    <t>8530748_gab</t>
  </si>
  <si>
    <t>janet o hara2 hours ago ghetto college send your kids there and they can learn to speak ghetto too get your degree in ebonics you will be so desirable to employers you will be sought after in hiring lmao president is a wimp and lets the insane asylum run the school ﻿</t>
  </si>
  <si>
    <t>African, Liberal, Poor</t>
  </si>
  <si>
    <t>053</t>
  </si>
  <si>
    <t>1939491_gab</t>
  </si>
  <si>
    <t>upshot is comet pizza wikileaks will become what the homosexual issues used to be in public discussions that cuts across party and race lines even socio economic lines that issue is somewhat bi partisan hastert and podesta remained friends that speaks loudly</t>
  </si>
  <si>
    <t>054</t>
  </si>
  <si>
    <t>1219094200228175875_twitter</t>
  </si>
  <si>
    <t>you hate your life just be honest</t>
  </si>
  <si>
    <t>055</t>
  </si>
  <si>
    <t>1179071539137990662_twitter</t>
  </si>
  <si>
    <t>&lt;user&gt; never hillary as a woman &lt;user&gt; represents nothing i would ever stand behind she has been a rapist enabler a feminazi and all around evil human being not only no but hell no trump 2020</t>
  </si>
  <si>
    <t>056</t>
  </si>
  <si>
    <t>17973156_gab</t>
  </si>
  <si>
    <t>if a bus filled sand niggers has one empty seat goes off a cliff it what is that called waste of a seat</t>
  </si>
  <si>
    <t>057</t>
  </si>
  <si>
    <t>14926730_gab</t>
  </si>
  <si>
    <t>i noticed how different the letters on gab look and i started freaking out becuz i thought i must have caught autism from this retarded kid that was coughing at walgreens 🙄</t>
  </si>
  <si>
    <t>058</t>
  </si>
  <si>
    <t>16723301_gab</t>
  </si>
  <si>
    <t>the fat nigger has tits on her back and pubes growing out of her hayid 🙈</t>
  </si>
  <si>
    <t>Black women</t>
  </si>
  <si>
    <t>Other, African, Women</t>
  </si>
  <si>
    <t>059</t>
  </si>
  <si>
    <t>20838853_gab</t>
  </si>
  <si>
    <t>i am wondering why asian people are not offended that they are describing middle eastern goat fucking muslimes as asians in the uk</t>
  </si>
  <si>
    <t>Muslim, ChineseAsian</t>
  </si>
  <si>
    <t>Muslims, Middle Eastern people</t>
  </si>
  <si>
    <t>Asian, Islam</t>
  </si>
  <si>
    <t>060</t>
  </si>
  <si>
    <t>1258692523603746816_twitter</t>
  </si>
  <si>
    <t>it be the same hoes talking shit in a group chat that ’ insecure asf in real life by themselves 😭</t>
  </si>
  <si>
    <t>061</t>
  </si>
  <si>
    <t>11174183_gab</t>
  </si>
  <si>
    <t>just what we need a sandnigger goatfucker for governor ffs</t>
  </si>
  <si>
    <t>062</t>
  </si>
  <si>
    <t>27392816_gab</t>
  </si>
  <si>
    <t>the sand niggers deserve the same</t>
  </si>
  <si>
    <t>Arab/Muslim people</t>
  </si>
  <si>
    <t>063</t>
  </si>
  <si>
    <t>18913134_gab</t>
  </si>
  <si>
    <t>for crying out loud millions if children are abused mentally ohydically emotionally are raped sexually abused every day do you want more</t>
  </si>
  <si>
    <t>064</t>
  </si>
  <si>
    <t>1198265466889785344_twitter</t>
  </si>
  <si>
    <t>single life is very ghetto</t>
  </si>
  <si>
    <t>Economic Status Status</t>
  </si>
  <si>
    <t>Black People (cultural stereotype)</t>
  </si>
  <si>
    <t>065</t>
  </si>
  <si>
    <t>1089693014132441088_twitter</t>
  </si>
  <si>
    <t>a buddy cop show where one of them is a holocaust survivor and the other is a holocaust denier</t>
  </si>
  <si>
    <t>Jewish, Other</t>
  </si>
  <si>
    <t>066</t>
  </si>
  <si>
    <t>18710576_gab</t>
  </si>
  <si>
    <t>if you have a daughter will you name her sandy you know as in sand nigger</t>
  </si>
  <si>
    <t>Arab, Other</t>
  </si>
  <si>
    <t>067</t>
  </si>
  <si>
    <t>15843155_gab</t>
  </si>
  <si>
    <t>i am still sad i have been trying to make my phone work so it will take pictures the rooftops are all white in my neighborhood and it so lovely i hate my phone right now</t>
  </si>
  <si>
    <t>African, Arab, Asian, Hispanic</t>
  </si>
  <si>
    <t>068</t>
  </si>
  <si>
    <t>16154028_gab</t>
  </si>
  <si>
    <t>still avoiding my questions i see castrato what do you have against people hating the marxist cultural agenda led by your beloved jews who also lead the homosexual movement which you apparently support is it because you are a faggoty posin person masquerading as a christian</t>
  </si>
  <si>
    <t xml:space="preserve">Homosexual, Jewish, </t>
  </si>
  <si>
    <t>Jewish People, LGBTQ+</t>
  </si>
  <si>
    <t>Homosexual, Jewish</t>
  </si>
  <si>
    <t>Homosexual, Christian, Jewish, Other</t>
  </si>
  <si>
    <t>069</t>
  </si>
  <si>
    <t>1079397452887834624_twitter</t>
  </si>
  <si>
    <t>&lt;user&gt; &lt;user&gt; not bad idea but they are retardet</t>
  </si>
  <si>
    <t>070</t>
  </si>
  <si>
    <t>5244548_gab</t>
  </si>
  <si>
    <t>you know it a sad state of affairs living in england when even the immigrants are getting pissed off with immigration</t>
  </si>
  <si>
    <t>Immigrant</t>
  </si>
  <si>
    <t>071</t>
  </si>
  <si>
    <t>18362047_gab</t>
  </si>
  <si>
    <t>agreed public shaming is usually enough to keep faggots in the closet anyway</t>
  </si>
  <si>
    <t>072</t>
  </si>
  <si>
    <t>11538998_gab</t>
  </si>
  <si>
    <t>america is an example of ethnic groups interacting with one another in peace now if we could just get the democratic marxists to let black people off the ghetto plantation we might be able to get things cleaned up</t>
  </si>
  <si>
    <t>073</t>
  </si>
  <si>
    <t>1146254885148479489_twitter</t>
  </si>
  <si>
    <t>&lt;user&gt; kash sulla meat dishes look garbage amp are served as if you are feeding refugees</t>
  </si>
  <si>
    <t>Refugees</t>
  </si>
  <si>
    <t>074</t>
  </si>
  <si>
    <t>19410887_gab</t>
  </si>
  <si>
    <t>fuck you kike</t>
  </si>
  <si>
    <t>075</t>
  </si>
  <si>
    <t>23814770_gab</t>
  </si>
  <si>
    <t>only shit gay bout me in the shit i shit out in da toiket bowl you queers wanna suck on my shit covered asshole son</t>
  </si>
  <si>
    <t>076</t>
  </si>
  <si>
    <t>1179085774526042113_twitter</t>
  </si>
  <si>
    <t>&lt;user&gt; &lt;number&gt; years there was a belgian pedophilia who went to jail with his wife his partner in crime idk if it the right word bc kidnapped &lt;number&gt; girls raped and let them die in his cellar and his partner in crime is now free</t>
  </si>
  <si>
    <t>Women (minors)</t>
  </si>
  <si>
    <t>077</t>
  </si>
  <si>
    <t>17656169_gab</t>
  </si>
  <si>
    <t>something the world of wildlife has not allowed to shoot white rhinos for instance unless of course you are a billionare elite but even then you d have to do it in secret</t>
  </si>
  <si>
    <t>078</t>
  </si>
  <si>
    <t>8042374_gab</t>
  </si>
  <si>
    <t>fuckmanchester british men are too scared to even talk about it let alone do anything about it they let their daughters be raped and killed and do not make a peep like scared little mice they are not men they are cowards shameful lowly cowards</t>
  </si>
  <si>
    <t>Men, Refugee</t>
  </si>
  <si>
    <t>079</t>
  </si>
  <si>
    <t>14262039_gab</t>
  </si>
  <si>
    <t>nah baldwin might be making a good point here i have no love for the kike weinstein or the thots who whored themselves for money but baldwin can let the feminists and jews bash him for a while might redpill him and flip him from being a libtard</t>
  </si>
  <si>
    <t>Jewish, Woman, Liberal</t>
  </si>
  <si>
    <t>Jewish, Woman</t>
  </si>
  <si>
    <t>Women, Jewish people</t>
  </si>
  <si>
    <t>Women, Jewish</t>
  </si>
  <si>
    <t>080</t>
  </si>
  <si>
    <t>22346132_gab</t>
  </si>
  <si>
    <t>research finds more than half of london lgbtq pubs clubs and music venues have closed since &lt;number&gt; i can not say i am surprised with the rise of islam in the capital and so many queers dying of aids</t>
  </si>
  <si>
    <t>Homosexual, Muslim</t>
  </si>
  <si>
    <t>Islam, Homosexual</t>
  </si>
  <si>
    <t>081</t>
  </si>
  <si>
    <t>15841729_gab</t>
  </si>
  <si>
    <t>having a retarded child is winning the sympathy lottery now you have your own retarded screaming lump of meat you can parade around for gibs and attention it a lifelong virtual signalling act that pays dividends</t>
  </si>
  <si>
    <t>082</t>
  </si>
  <si>
    <t>7547439_gab</t>
  </si>
  <si>
    <t>during the 4 0 quota of immigrants were established expanding into the 5 0 every &lt;number&gt; years until the internal security act required aliens to report their addresses the immigration nationality act in &lt;number&gt; tightened screening restriction preferences &lt;number&gt; skilled workers that excluded communists</t>
  </si>
  <si>
    <t>083</t>
  </si>
  <si>
    <t>20614405_gab</t>
  </si>
  <si>
    <t>yep they have become the party representing muslims blacks asians queers and any other undesirable element in our society not the working man they have taken this once great country well and truly down the toilet sorry to say but it has become a shit hole</t>
  </si>
  <si>
    <t>Muslim, African, Asian, Homosexual</t>
  </si>
  <si>
    <t>Muslim, AfricanBlack, ChineseAsian, Homosexual, Queer</t>
  </si>
  <si>
    <t>Immigrants, Ethnic minorities</t>
  </si>
  <si>
    <t>African, Asian, Caucasian</t>
  </si>
  <si>
    <t>Homosexual, African, Arab, Asian, Islam</t>
  </si>
  <si>
    <t>Homosexual, African, Asian, Islam</t>
  </si>
  <si>
    <t>084</t>
  </si>
  <si>
    <t>1178904752689762304_twitter</t>
  </si>
  <si>
    <t>&lt;user&gt; yeah kiss my skinny white ass september 🍁</t>
  </si>
  <si>
    <t>085</t>
  </si>
  <si>
    <t>22500099_gab</t>
  </si>
  <si>
    <t>the koran says the only way a gay moslem can get to paradise is by killing infidels those infidels you kill will be your slaves in the afterlife so thankfully he preferred brown men as several survivors claimed to have slept with him</t>
  </si>
  <si>
    <t>Muslim, Homosexual</t>
  </si>
  <si>
    <t>Muslims, Non-Muslims</t>
  </si>
  <si>
    <t>086</t>
  </si>
  <si>
    <t>19526192_gab</t>
  </si>
  <si>
    <t>go sleep you old whore go get raped by a muslim you will enjoy it</t>
  </si>
  <si>
    <t>Muslim, Woman</t>
  </si>
  <si>
    <t>Women, Muslim people</t>
  </si>
  <si>
    <t>Muslims, Women</t>
  </si>
  <si>
    <t>Islam, Women</t>
  </si>
  <si>
    <t>Islam, Women, Other</t>
  </si>
  <si>
    <t>087</t>
  </si>
  <si>
    <t>1178323077282897920_twitter</t>
  </si>
  <si>
    <t>there something about a stage full of white women bopping along to lizzo after watching a show of mediocre performances by said white women that just affirms we need more representation and we need it now wanna do burlesque wanna do drag get at me</t>
  </si>
  <si>
    <t>088</t>
  </si>
  <si>
    <t>1166190318116646912_twitter</t>
  </si>
  <si>
    <t>adulthood is the most ghetto hood i ’ ve ever been in bitch i hate it here</t>
  </si>
  <si>
    <t>Black People (cultural)</t>
  </si>
  <si>
    <t>089</t>
  </si>
  <si>
    <t>1225661082083024897_twitter</t>
  </si>
  <si>
    <t>caucasians wearing masks to prevent coronavirus and still don ’ t wash their hands</t>
  </si>
  <si>
    <t>CaucAsian</t>
  </si>
  <si>
    <t>090</t>
  </si>
  <si>
    <t>1179035033308401664_twitter</t>
  </si>
  <si>
    <t>you niggers need to calm down</t>
  </si>
  <si>
    <t>Black</t>
  </si>
  <si>
    <t>091</t>
  </si>
  <si>
    <t>1178726254381617152_twitter</t>
  </si>
  <si>
    <t>&lt;user&gt; went on her acc and its just ppl putting fancams and saying dykes follow me like that is helping in the slightest</t>
  </si>
  <si>
    <t>Homosexual (Lesbian context)</t>
  </si>
  <si>
    <t>LGBTQ+ people</t>
  </si>
  <si>
    <t>092</t>
  </si>
  <si>
    <t>1081955588282765313_twitter</t>
  </si>
  <si>
    <t>made a joke to my gf about stealing fancy jewelry for my wife and she about lost her shit all her gay marbles</t>
  </si>
  <si>
    <t>093</t>
  </si>
  <si>
    <t>1179089691871793152_twitter</t>
  </si>
  <si>
    <t>it gonna be &lt;date&gt; in a row faggot golovkin fans will be crying robbery after this saturday night</t>
  </si>
  <si>
    <t>Heterosexual</t>
  </si>
  <si>
    <t>094</t>
  </si>
  <si>
    <t>1178722554695049216_twitter</t>
  </si>
  <si>
    <t>&lt;user&gt; not the dykest of dykes getting brave</t>
  </si>
  <si>
    <t>Lesbian women</t>
  </si>
  <si>
    <t>Women, Homosexual</t>
  </si>
  <si>
    <t>095</t>
  </si>
  <si>
    <t>21990566_gab</t>
  </si>
  <si>
    <t>this kike is still alive wtf</t>
  </si>
  <si>
    <t>096</t>
  </si>
  <si>
    <t>1179094368986247169_twitter</t>
  </si>
  <si>
    <t>week &lt;number&gt; &lt;number&gt; cannibal holocaust &lt;number&gt; demons &lt;number&gt; all the colors of the dark &lt;number&gt; blood and black lace &lt;number&gt; zombie or zombi &lt;number&gt; title for this is a mess it is the one directed by lucio fulci &lt;number&gt; sat tigers are not afraid &lt;number&gt; sun the devils &lt;number&gt;</t>
  </si>
  <si>
    <t>097</t>
  </si>
  <si>
    <t>10840200_gab</t>
  </si>
  <si>
    <t>rep steve cohen of tennessee announced thursday he is introducing articles of impeachment against president trump following the violence in virginia gabfam</t>
  </si>
  <si>
    <t>098</t>
  </si>
  <si>
    <t>1178881031136403456_twitter</t>
  </si>
  <si>
    <t>lrt the loud white dude is a fucking fed right like no fucking question</t>
  </si>
  <si>
    <t>099</t>
  </si>
  <si>
    <t>14375797_gab</t>
  </si>
  <si>
    <t>pres johnson buying into the stereotype that blacks were afraid of snakes who is not afraid of snakes he d drive to gas stations with one in his trunk and try to trick black attendants into opening it</t>
  </si>
  <si>
    <t>100</t>
  </si>
  <si>
    <t>1178942716459151360_twitter</t>
  </si>
  <si>
    <t>&lt;user&gt; i can not decide darlifra is a fucking conservative nightmare but cross ange makes a rape victim apologize for being raped among many egregious offenses it like choosing between burning at the stake and being caught in a volcanic explosion</t>
  </si>
  <si>
    <t>Muslim / Arab</t>
  </si>
  <si>
    <t>101</t>
  </si>
  <si>
    <t>27841553_gab</t>
  </si>
  <si>
    <t>let me go to bed nazi faggot maybe i can catch you off guard again tonight do not mute lol that will not help &lt;user&gt;</t>
  </si>
  <si>
    <t>Gay people, Nazis</t>
  </si>
  <si>
    <t>Gay people, Jewish people</t>
  </si>
  <si>
    <t>102</t>
  </si>
  <si>
    <t>8073987_gab</t>
  </si>
  <si>
    <t>swedish men are all silent as their woman are being raped to death by niggers</t>
  </si>
  <si>
    <t>Black people, Women</t>
  </si>
  <si>
    <t>103</t>
  </si>
  <si>
    <t>1177662316835475457_twitter</t>
  </si>
  <si>
    <t>&lt;user&gt; &lt;user&gt; &lt;user&gt; it called capitalism towel head go back to your communist country and see how that works out</t>
  </si>
  <si>
    <t>Economic</t>
  </si>
  <si>
    <t>104</t>
  </si>
  <si>
    <t>18796136_gab</t>
  </si>
  <si>
    <t>the ultimate anti muslim weapon a muslim being killed by a women means no virgins in heaven the armed kurdish women brigades caused fear and running of isis in syria this is the time for our sisters to take control of the destiny of the human race</t>
  </si>
  <si>
    <t>105</t>
  </si>
  <si>
    <t>1179033415279988738_twitter</t>
  </si>
  <si>
    <t>&lt;user&gt; oh wow just learned this word through you but did they use it as an apropiation it to make it stop hurting them like bi guys could do w faggot or did they just use it in a derogatory way</t>
  </si>
  <si>
    <t>Other, Homosexual</t>
  </si>
  <si>
    <t>106</t>
  </si>
  <si>
    <t>19939869_gab</t>
  </si>
  <si>
    <t>nigger lovin fgt</t>
  </si>
  <si>
    <t>107</t>
  </si>
  <si>
    <t>1082488743037145089_twitter</t>
  </si>
  <si>
    <t>sick of bitches bitching about other bitches being bitches</t>
  </si>
  <si>
    <t>108</t>
  </si>
  <si>
    <t>14896755_gab</t>
  </si>
  <si>
    <t>and he was given a traditional moslem sea burial</t>
  </si>
  <si>
    <t>109</t>
  </si>
  <si>
    <t>11983762_gab</t>
  </si>
  <si>
    <t>open invitation to all queers to my christian island republic for public death 1 fags</t>
  </si>
  <si>
    <t>110</t>
  </si>
  <si>
    <t>1275492309170376713_twitter</t>
  </si>
  <si>
    <t>it ’ bad enough the caucasians shade me for my name but my own ppl be mocking me the spelling is different 😡</t>
  </si>
  <si>
    <t>African, Caucasian</t>
  </si>
  <si>
    <t>111</t>
  </si>
  <si>
    <t>13653444_gab</t>
  </si>
  <si>
    <t>regular morning joe contributor mark halperin is fascinated enough to tweet about the new iphone calculator that been out for weeks stay retarded libs</t>
  </si>
  <si>
    <t>Liberal, Disabled</t>
  </si>
  <si>
    <t>None (self-directed)</t>
  </si>
  <si>
    <t>112</t>
  </si>
  <si>
    <t>6692146_gab</t>
  </si>
  <si>
    <t>democrats have next obama readying in the wings a muslim doctor that what they call diversity i call it stupid 👹</t>
  </si>
  <si>
    <t>113</t>
  </si>
  <si>
    <t>1178582515457708032_twitter</t>
  </si>
  <si>
    <t>lh wtf i am weak this girl retarded lmfao</t>
  </si>
  <si>
    <t>Disabled</t>
  </si>
  <si>
    <t>Other, Women</t>
  </si>
  <si>
    <t>114</t>
  </si>
  <si>
    <t>1179071111713017861_twitter</t>
  </si>
  <si>
    <t>&lt;user&gt; the home minister is creating a system of second class citizens within our country muslim refugee is no different from a hindu christian one no divide and rule</t>
  </si>
  <si>
    <t>Muslim, Refugee, Immigrant</t>
  </si>
  <si>
    <t>115</t>
  </si>
  <si>
    <t>1186068758013599744_twitter</t>
  </si>
  <si>
    <t>you ever just not want to be alive anymore not kill yourself necessarily but just stop the life you have</t>
  </si>
  <si>
    <t>Women, Latino</t>
  </si>
  <si>
    <t>116</t>
  </si>
  <si>
    <t>1094643815028273152_twitter</t>
  </si>
  <si>
    <t>&lt;user&gt; what type of muslims are these funded by the hateful saudi wahabi govt</t>
  </si>
  <si>
    <t>117</t>
  </si>
  <si>
    <t>1178819638504775681_twitter</t>
  </si>
  <si>
    <t>&lt;user&gt; &lt;user&gt; &lt;user&gt; &lt;user&gt; &lt;user&gt; it not for black people to decide whether black can be racist or not just like its not white to decide whether white can be racist or not tariq nasheed called asians as inbred race and indians as sand ni goatfucker that is not racist</t>
  </si>
  <si>
    <t>Indian/Asian, Arab people</t>
  </si>
  <si>
    <t>118</t>
  </si>
  <si>
    <t>1091863937673580545_twitter</t>
  </si>
  <si>
    <t>right ngl lads lets censor the shit before stick up they ass bitches run rampant</t>
  </si>
  <si>
    <t>119</t>
  </si>
  <si>
    <t>15432080_gab</t>
  </si>
  <si>
    <t>the memes these retarded sorority girl instagram whore feminists post to each other are a genre unto themselves absolutely hilarious be loud be brash be a mess tell people what you demand never show mercy die alone week later spic maid finds corpse half eaten by furbabies</t>
  </si>
  <si>
    <t>Woman, Disabled</t>
  </si>
  <si>
    <t>Women, Feminists</t>
  </si>
  <si>
    <t>Women, Hispanic</t>
  </si>
  <si>
    <t>120</t>
  </si>
  <si>
    <t>23408683_gab</t>
  </si>
  <si>
    <t>invisible white guy fed up of getting only &lt;number&gt; of my pay check to pay for left wing fantasies</t>
  </si>
  <si>
    <t>121</t>
  </si>
  <si>
    <t>1179088231951994880_twitter</t>
  </si>
  <si>
    <t>&lt;user&gt; where the fuck are your socks white boy</t>
  </si>
  <si>
    <t>122</t>
  </si>
  <si>
    <t>1178803209999020032_twitter</t>
  </si>
  <si>
    <t>if you drive under the speed limit especially in the fast lane know i genuinely fucking hate you</t>
  </si>
  <si>
    <t>123</t>
  </si>
  <si>
    <t>1173430581868318720_twitter</t>
  </si>
  <si>
    <t>shaking ass is considered goofy now whew chile the ghetto 🥴</t>
  </si>
  <si>
    <t>Black People, Jewish People</t>
  </si>
  <si>
    <t>124</t>
  </si>
  <si>
    <t>1091484140992712704_twitter</t>
  </si>
  <si>
    <t>&lt;user&gt; &lt;user&gt; is the divider hates canadians loves gays and muslims</t>
  </si>
  <si>
    <t>Muslim, Queer</t>
  </si>
  <si>
    <t>Homosexual, Islam</t>
  </si>
  <si>
    <t>125</t>
  </si>
  <si>
    <t>1207723806950866951_twitter</t>
  </si>
  <si>
    <t>whats scarier than hearing a white person talking in french i just know they saying something racist or islamophobic</t>
  </si>
  <si>
    <t>126</t>
  </si>
  <si>
    <t>10325961_gab</t>
  </si>
  <si>
    <t>yoah touchink the third rail now ve made you and ve can break you raghead hoah</t>
  </si>
  <si>
    <t>127</t>
  </si>
  <si>
    <t>14560857_gab</t>
  </si>
  <si>
    <t>naw it probably nigger obama fault shift the blame ok i blame the jews whatever please quit the bitch fit with azz it clogging up my gab feed and it retarded thanks</t>
  </si>
  <si>
    <t>Black, Jewish, Disabled</t>
  </si>
  <si>
    <t>Black people, Jewish people</t>
  </si>
  <si>
    <t>African, Jewish</t>
  </si>
  <si>
    <t>African, Jewish, Men, Women, Other</t>
  </si>
  <si>
    <t>128</t>
  </si>
  <si>
    <t>11832708_gab</t>
  </si>
  <si>
    <t>my iq is a confirmed &lt;number&gt; points checkmate you ignorant faggots &lt;user&gt;</t>
  </si>
  <si>
    <t>129</t>
  </si>
  <si>
    <t>16674750_gab</t>
  </si>
  <si>
    <t>european capitols arent american besides europe allowed the muzzies in anyway not my problem</t>
  </si>
  <si>
    <t>Islam, Refugee</t>
  </si>
  <si>
    <t>130</t>
  </si>
  <si>
    <t>17150018_gab</t>
  </si>
  <si>
    <t>and who do you think is pushing these liberals off the cliff of rationality into communism faggotry diversity and all the other bullshit they are trying to destroy white countries with while you are looking into that you might want to research the pioneers of the modern feminists mindset goals</t>
  </si>
  <si>
    <t>Communist, Homosexual</t>
  </si>
  <si>
    <t>131</t>
  </si>
  <si>
    <t>17552298_gab</t>
  </si>
  <si>
    <t>jews got whites hooked on nigger culture</t>
  </si>
  <si>
    <t>Jewish, Black</t>
  </si>
  <si>
    <t>Jewish people, Black people</t>
  </si>
  <si>
    <t>132</t>
  </si>
  <si>
    <t>1179098124821901312_twitter</t>
  </si>
  <si>
    <t>i do not like how the faget usa that stole my chileans trillions die in one week planet and inventions trying to kill me uses faget ass police to harass everyone to make they r whole country a murderous asshole faggot your country can go f its face</t>
  </si>
  <si>
    <t>133</t>
  </si>
  <si>
    <t>1264290964413300736_twitter</t>
  </si>
  <si>
    <t>i feel so bad for people who learned arabic amp decide to talk to arabs baby you are gonna sound like a spacetoon mbc3 character</t>
  </si>
  <si>
    <t>134</t>
  </si>
  <si>
    <t>9227245_gab</t>
  </si>
  <si>
    <t>africans mexicans do not like the homos put up billboards in the ghetto barrio tying dems to gays i d like to see what happens next</t>
  </si>
  <si>
    <t>Homosexual, AfricanBlack, MexicanHispanicLatino</t>
  </si>
  <si>
    <t>Black people, Hispanic people</t>
  </si>
  <si>
    <t>Homosexual, African, Hispanic</t>
  </si>
  <si>
    <t>135</t>
  </si>
  <si>
    <t>19989377_gab</t>
  </si>
  <si>
    <t>you forgot faggots like azzmador and greg johnson</t>
  </si>
  <si>
    <t>136</t>
  </si>
  <si>
    <t>1122251315365597185_twitter</t>
  </si>
  <si>
    <t>&lt;user&gt; &lt;user&gt; i fucking hate you</t>
  </si>
  <si>
    <t>137</t>
  </si>
  <si>
    <t>1177308686190092289_twitter</t>
  </si>
  <si>
    <t>market tops are made in violence market bottoms are made quietly old wall street adage</t>
  </si>
  <si>
    <t>138</t>
  </si>
  <si>
    <t>14794491_gab</t>
  </si>
  <si>
    <t>in a sense this may be true not so much in the direct violence sort of way but in the sense of using false pretenses to extract resources from men of course we can not discount all those teachers etc which just boggles my mind</t>
  </si>
  <si>
    <t>None (or Woman/Men)</t>
  </si>
  <si>
    <t>139</t>
  </si>
  <si>
    <t>11456563_gab</t>
  </si>
  <si>
    <t>maybe now the weirds queers can hear us that we can not stand their vapid anti american anti family anti normal gay tranny pedo pushing bullshit which they interject into every movie tv show we the real people of us want the return of family values altruism justice for all morals normalcy</t>
  </si>
  <si>
    <t>Homosexual, Queer, Transgender persons</t>
  </si>
  <si>
    <t>Latino, White Women</t>
  </si>
  <si>
    <t>Men, Homosexual</t>
  </si>
  <si>
    <t>140</t>
  </si>
  <si>
    <t>1178722544641118212_twitter</t>
  </si>
  <si>
    <t>just got assigned to write a paper on how reverse racism is not real in a class full of white ppl you all know i got this in the bag</t>
  </si>
  <si>
    <t>141</t>
  </si>
  <si>
    <t>6302210_gab</t>
  </si>
  <si>
    <t>the only thing worth saying here is nigger faggot thanks god for gabai</t>
  </si>
  <si>
    <t>142</t>
  </si>
  <si>
    <t>14928699_gab</t>
  </si>
  <si>
    <t>why are libtards bitching and moaning that washington redskins logo is derogatory demeaning i have not heard a single fellow greek bitch and moan about michigan using our spartans for their logo or a single condom bitching and moaning about usc using the name trojan for theirs 😏</t>
  </si>
  <si>
    <t>Liberal, Disabled, Native American</t>
  </si>
  <si>
    <t>Native American</t>
  </si>
  <si>
    <t>Women, Other</t>
  </si>
  <si>
    <t>Indigenous</t>
  </si>
  <si>
    <t>143</t>
  </si>
  <si>
    <t>1178771184701362177_twitter</t>
  </si>
  <si>
    <t>&lt;user&gt; &lt;user&gt; &lt;user&gt; are you white cause my spic ass cant be the white bitches he referencing</t>
  </si>
  <si>
    <t>144</t>
  </si>
  <si>
    <t>3249755_gab</t>
  </si>
  <si>
    <t>&lt;user&gt; the holocaust happened alright it was during the holocaust when ole george soros sold his soul to lucifer</t>
  </si>
  <si>
    <t>145</t>
  </si>
  <si>
    <t>26245831_gab</t>
  </si>
  <si>
    <t>the refusees are nignogs not arabs usually</t>
  </si>
  <si>
    <t>African, Refugee</t>
  </si>
  <si>
    <t>African, Arab, Men, Women</t>
  </si>
  <si>
    <t>146</t>
  </si>
  <si>
    <t>14910457_gab</t>
  </si>
  <si>
    <t>that judge just broke federal laws he gonna get swept up with the rest of the retarded trash in cali</t>
  </si>
  <si>
    <t>147</t>
  </si>
  <si>
    <t>23862875_gab</t>
  </si>
  <si>
    <t>young white people have been systematically brainwashed into believing that whites invented evil that no one else has ever inflicted any pain on anyone else and the world would be a perfectly harmonious garden of eden again if it wasn t for those demonic damn caucasians</t>
  </si>
  <si>
    <t>148</t>
  </si>
  <si>
    <t>1179062990433333248_twitter</t>
  </si>
  <si>
    <t>&lt;user&gt; &lt;user&gt; pete like many let us all get along white voters are completely in denial about the amount of fighting it takes to achieve outcomes in fact lets all get along was the deliberate tactic used to doom reconstruction after the civil war exclude blacks from the new deal etc</t>
  </si>
  <si>
    <t>149</t>
  </si>
  <si>
    <t>1179092694485913601_twitter</t>
  </si>
  <si>
    <t>&lt;user&gt; sorry &lt;user&gt; but citizens of nyc can bail out their own citizen workers federal tax money is needed to take care of illegal immigrants in detention centers</t>
  </si>
  <si>
    <t>150</t>
  </si>
  <si>
    <t>1173774435104546817_twitter</t>
  </si>
  <si>
    <t>hoes gone be hoes</t>
  </si>
  <si>
    <t>151</t>
  </si>
  <si>
    <t>1178516230098976769_twitter</t>
  </si>
  <si>
    <t>fuck yeah kill that white devil the terror infamy</t>
  </si>
  <si>
    <t>152</t>
  </si>
  <si>
    <t>19692828_gab</t>
  </si>
  <si>
    <t>blm member living in detroit baltimore youngstown chicago ny la houston or any city with a large crumbling poor dependent ghetto black men women and children lifestyle</t>
  </si>
  <si>
    <t>African, Men, Women, Other</t>
  </si>
  <si>
    <t>African, Men, Women</t>
  </si>
  <si>
    <t>153</t>
  </si>
  <si>
    <t>18937094_gab</t>
  </si>
  <si>
    <t>and let us not forget harry polluting the royal blood line with the nigger</t>
  </si>
  <si>
    <t>154</t>
  </si>
  <si>
    <t>1179028959029276672_twitter</t>
  </si>
  <si>
    <t>&lt;user&gt; okay he black also it okay to be white and what wrong with loving your country you are a bigot alec seriously you fit the definition rational people walkaway from leftist hatred and bigotry</t>
  </si>
  <si>
    <t>155</t>
  </si>
  <si>
    <t>1179105198498877440_twitter</t>
  </si>
  <si>
    <t>&lt;user&gt; also doggos are only way to keep of white hoes from having babies i e misdirected motherhood please keep doggos in the game they are helping our cause</t>
  </si>
  <si>
    <t>White women</t>
  </si>
  <si>
    <t>156</t>
  </si>
  <si>
    <t>17646823_gab</t>
  </si>
  <si>
    <t>normally i just ignore gop solicitations but i really should start returning them with a note that says fuck you ask one of your pet beaners for some money</t>
  </si>
  <si>
    <t>Hispanic, Latino</t>
  </si>
  <si>
    <t>157</t>
  </si>
  <si>
    <t>1178717722416467969_twitter</t>
  </si>
  <si>
    <t>looks at avi you think white people not going to call you a nigger</t>
  </si>
  <si>
    <t>158</t>
  </si>
  <si>
    <t>1178988436864294913_twitter</t>
  </si>
  <si>
    <t>&lt;user&gt; &lt;user&gt; &lt;user&gt; so what about adults who bring disease to this country what about lack of choice what about failure to modernise vaccination manufacture processes how dare you go to war on concerned parents without addressing concerns first</t>
  </si>
  <si>
    <t>159</t>
  </si>
  <si>
    <t>21128690_gab</t>
  </si>
  <si>
    <t>so do all women if the media teaches them to be whores</t>
  </si>
  <si>
    <t>160</t>
  </si>
  <si>
    <t>1179102765521481729_twitter</t>
  </si>
  <si>
    <t>&lt;user&gt; &lt;user&gt; the wall is being built despite the dems love for illegal aliens voters they do not even want voter id that insane dems let them in faster than they are deported and then hide them in sanctuary cities ars are no different than handguns capacity is the issue</t>
  </si>
  <si>
    <t>161</t>
  </si>
  <si>
    <t>1208731_gab</t>
  </si>
  <si>
    <t>my god but i am an opinionated bitch today but just sayin chelsea has rather redeemed herself lately hats off to her thought she was a worm but she turned</t>
  </si>
  <si>
    <t>162</t>
  </si>
  <si>
    <t>26495505_gab</t>
  </si>
  <si>
    <t>i am sure tricking the icelandic people into accepting fighting age male muslim refugees that israel and saudi arabia will not accept was the first order of business what a setback for iceland</t>
  </si>
  <si>
    <t>Muslim, Immigrant, Refugee</t>
  </si>
  <si>
    <t>163</t>
  </si>
  <si>
    <t>1178722465591283713_twitter</t>
  </si>
  <si>
    <t>nigga at work said i look like a subway surfer</t>
  </si>
  <si>
    <t>164</t>
  </si>
  <si>
    <t>18208498_gab</t>
  </si>
  <si>
    <t>can not believe that fucking bitch hit my car</t>
  </si>
  <si>
    <t>165</t>
  </si>
  <si>
    <t>10871342_gab</t>
  </si>
  <si>
    <t>the retarded fighting the retarded</t>
  </si>
  <si>
    <t>Heterosexual, Men</t>
  </si>
  <si>
    <t>166</t>
  </si>
  <si>
    <t>1179014561917280259_twitter</t>
  </si>
  <si>
    <t>she also asked if i find them attractive and bitch i choked and was like uf yeah damn omg yes yeah my fangirl jumped out at that moment and she didnt understand and was like they all look the same yes ofc karen</t>
  </si>
  <si>
    <t>167</t>
  </si>
  <si>
    <t>23352931_gab</t>
  </si>
  <si>
    <t>i am troubled by pizza toppings latest ad pizza toppings your favorite paleo centric restaurant who bakes it normal then scrapes the good stuff off for you concerned dieters folks do not worry about the crusts all bread is fed to the nigger dogs we keep in the basement</t>
  </si>
  <si>
    <t>None (unclear)</t>
  </si>
  <si>
    <t>168</t>
  </si>
  <si>
    <t>13698648_gab</t>
  </si>
  <si>
    <t>never hit a woman in my life but with some of these kids walking the streets with hardly any clothes on and wondering why they are raped is beyond me i know they have a right to wear what they want but hell lets be honest here</t>
  </si>
  <si>
    <t>169</t>
  </si>
  <si>
    <t>27283431_gab</t>
  </si>
  <si>
    <t>are we sure trudeau is straight i mean being a faggot makes more since guess somebody is trying to out queer lindsey graham</t>
  </si>
  <si>
    <t>Gay people, Muslims</t>
  </si>
  <si>
    <t>170</t>
  </si>
  <si>
    <t>5378093_gab</t>
  </si>
  <si>
    <t>no my anti feminist beliefs stem from my great love and reverence for women forcing females to be the same as men is not only damaging for society but is unfair to women who must be forced to endure roles for which they were not biologically suited</t>
  </si>
  <si>
    <t>171</t>
  </si>
  <si>
    <t>1178832238730858496_twitter</t>
  </si>
  <si>
    <t>&lt;user&gt; &lt;user&gt; is that the white castle doctrine</t>
  </si>
  <si>
    <t>Refugees (general)</t>
  </si>
  <si>
    <t>172</t>
  </si>
  <si>
    <t>10714168_gab</t>
  </si>
  <si>
    <t>charlottesville did not have the intended impact only one died no one arrested no neighborhoods burned no police cars torched no stores looted no brick rock throwing at police dindunuffins dindunuffin liquor stores intact non event for antifa blm baltimore should provide much more lively targets</t>
  </si>
  <si>
    <t>Protestors (Black)</t>
  </si>
  <si>
    <t xml:space="preserve">Hate Speech </t>
  </si>
  <si>
    <t>173</t>
  </si>
  <si>
    <t>5824375_gab</t>
  </si>
  <si>
    <t>all people engage in stereotyping bc that how humans survive anyone who claims that assuming blacks are thugs bc of how they dress in the ghetto is a retard bc they dress that way literally to convince others they are thugs so they will not be attacked by other thugs</t>
  </si>
  <si>
    <t>Black people, People with disabilities</t>
  </si>
  <si>
    <t>African, Other</t>
  </si>
  <si>
    <t>174</t>
  </si>
  <si>
    <t>17414677_gab</t>
  </si>
  <si>
    <t>if this is not a strong case for arranged marriage for libtard white women then i do not know what is majority of leftard white women that marry immigrants are the dumbest bitches on the planet leftard women should have their marriage rights abolished only have arranged marriages to white men</t>
  </si>
  <si>
    <t>Woman, Immigrant</t>
  </si>
  <si>
    <t>Woman, Immigrant, Caucasian</t>
  </si>
  <si>
    <t>White women, Immigrants</t>
  </si>
  <si>
    <t>175</t>
  </si>
  <si>
    <t>1178735809358450688_twitter</t>
  </si>
  <si>
    <t>there is no logical or just reason for a mediocre few shielded from competition propped up by inherited riches and passports to feast on the world riches under the guise of meritocracy &lt;user&gt; ungrateful refugee &lt;number&gt;</t>
  </si>
  <si>
    <t>Women (rape victims)</t>
  </si>
  <si>
    <t>176</t>
  </si>
  <si>
    <t>1194225983064166402_twitter</t>
  </si>
  <si>
    <t>&lt;user&gt; why i still hate you you delete artpop</t>
  </si>
  <si>
    <t>177</t>
  </si>
  <si>
    <t>25051813_gab</t>
  </si>
  <si>
    <t>show this as an expected requirement for immigrants to stay in the us and watch them leave just explain that this is what the schools turn your kids into and end a of illegal immigrants</t>
  </si>
  <si>
    <t>Arab, Islam, Men, Women, Refugee</t>
  </si>
  <si>
    <t>178</t>
  </si>
  <si>
    <t>23190563_gab</t>
  </si>
  <si>
    <t>your retarded &lt;laugh&gt; lmfao 😂 😂 😂</t>
  </si>
  <si>
    <t>179</t>
  </si>
  <si>
    <t>1178819404466999297_twitter</t>
  </si>
  <si>
    <t>i am sorry sensitive twitter but i honestly feel like if you get raped and want to be compensated your a prostitute 🤷 🏾 ‍ ♂️ you should be trying to get justice not money</t>
  </si>
  <si>
    <t>Women, Rape survivors</t>
  </si>
  <si>
    <t>180</t>
  </si>
  <si>
    <t>1178799138537967620_twitter</t>
  </si>
  <si>
    <t>&lt;user&gt; &lt;user&gt; i did not use a disease to vilify anyone i did not bring disease up read the chain i brought up smoking and then was told that smoking was wrong because it had health affects but that gay sex did not have health effects that how the topic came up</t>
  </si>
  <si>
    <t>181</t>
  </si>
  <si>
    <t>15801637_gab</t>
  </si>
  <si>
    <t>if they are not beside us or behind us they are in the fucking way the question is actually do childless nigger fucking half jew indian thots belong in the alt right</t>
  </si>
  <si>
    <t>Jewish, Black, Indian</t>
  </si>
  <si>
    <t>Black, Jewish, Indian people, Women</t>
  </si>
  <si>
    <t>Other, African, Women, Jewish</t>
  </si>
  <si>
    <t>Indian</t>
  </si>
  <si>
    <t>182</t>
  </si>
  <si>
    <t>1179065063539462151_twitter</t>
  </si>
  <si>
    <t>hold on waterparks gon have yung pinch for an opener a win for the niggers</t>
  </si>
  <si>
    <t>183</t>
  </si>
  <si>
    <t>16546041_gab</t>
  </si>
  <si>
    <t>it like stuff is not real to them until it too late or something terrible happens to them like a lot of chicks in germany and other parts of europe they are literally refugees welcome until they are raped or dead then they are suddenly right wing if they survive the attack</t>
  </si>
  <si>
    <t>Refugee, Woman</t>
  </si>
  <si>
    <t>Women, Refugee</t>
  </si>
  <si>
    <t>184</t>
  </si>
  <si>
    <t>1113850321598599168_twitter</t>
  </si>
  <si>
    <t>&lt;user&gt; i am saying i am retarded</t>
  </si>
  <si>
    <t>185</t>
  </si>
  <si>
    <t>1104863207393501185_twitter</t>
  </si>
  <si>
    <t>chopper hit bitches and niggas this bitch so confused</t>
  </si>
  <si>
    <t>Women, Black people</t>
  </si>
  <si>
    <t>186</t>
  </si>
  <si>
    <t>12859763_gab</t>
  </si>
  <si>
    <t>you got torba moma crying like the bitch she is you happy nigger</t>
  </si>
  <si>
    <t>Woman, AfricanBlack</t>
  </si>
  <si>
    <t>187</t>
  </si>
  <si>
    <t>21261762_gab</t>
  </si>
  <si>
    <t>west va lawmaker using n word listening to little wayne big deal just another lady tired of great nigger giveaway watch on tv first &lt;number&gt; hours cops any popular reality crime show quick education for niggra loving left thugs rape murder robbery get a job nigger disscusting trash</t>
  </si>
  <si>
    <t>None (general insult)</t>
  </si>
  <si>
    <t>188</t>
  </si>
  <si>
    <t>4917800_gab</t>
  </si>
  <si>
    <t>ok let say ur all racist and shit and u just avoid black ppl like some racist fuckin nazi sure u dramatically lower ur odds of being the victim of brutal violence but is that really worth it</t>
  </si>
  <si>
    <t>189</t>
  </si>
  <si>
    <t>1103135489689825280_twitter</t>
  </si>
  <si>
    <t>ion know why bitches be so shameless to be on some fan behavior shit</t>
  </si>
  <si>
    <t>190</t>
  </si>
  <si>
    <t>1269940233468096513_twitter</t>
  </si>
  <si>
    <t>&lt;user&gt; why should you ban immigrants from operating small business every business start somewhere and tomorrow that will give people job</t>
  </si>
  <si>
    <t>191</t>
  </si>
  <si>
    <t>1179005827811807232_twitter</t>
  </si>
  <si>
    <t>&lt;user&gt; where did you dig up this hillbilly</t>
  </si>
  <si>
    <t>White People (self-victimizing)</t>
  </si>
  <si>
    <t>Other, Caucasian</t>
  </si>
  <si>
    <t>192</t>
  </si>
  <si>
    <t>1175992471152545797_twitter</t>
  </si>
  <si>
    <t>clumpcake being racist to asians what new 🤭 🤭</t>
  </si>
  <si>
    <t>193</t>
  </si>
  <si>
    <t>1178738567616618496_twitter</t>
  </si>
  <si>
    <t>&lt;user&gt; apparently there is some weird edl type plotline too one of the old main gay characters has been groomed to become a muzzy hater lmao</t>
  </si>
  <si>
    <t>194</t>
  </si>
  <si>
    <t>15536288_gab</t>
  </si>
  <si>
    <t>an illegal immigrant that came here to commit crimes is not the same as someone who comes to work abide by our american laws live in peace deportzarate justiceforkate</t>
  </si>
  <si>
    <t xml:space="preserve">None </t>
  </si>
  <si>
    <t>195</t>
  </si>
  <si>
    <t>1178858230824370176_twitter</t>
  </si>
  <si>
    <t>i am a straight white christian male and i am oppressed</t>
  </si>
  <si>
    <t>196</t>
  </si>
  <si>
    <t>1182486444906037249_twitter</t>
  </si>
  <si>
    <t>&lt;user&gt; what is retarded dancing</t>
  </si>
  <si>
    <t>197</t>
  </si>
  <si>
    <t>16613274_gab</t>
  </si>
  <si>
    <t>by the number of beaners in the background i suggest not eating the food there love the shirt tho</t>
  </si>
  <si>
    <t>198</t>
  </si>
  <si>
    <t>26122256_gab</t>
  </si>
  <si>
    <t>why are there queers everyday somewhere trying to tell us what to do abominations go away freaks stay away from anyone under the age of &lt;number&gt; sickos</t>
  </si>
  <si>
    <t>Queer</t>
  </si>
  <si>
    <t>Queer, Homosexual, Trans</t>
  </si>
  <si>
    <t>Men</t>
  </si>
  <si>
    <t>199</t>
  </si>
  <si>
    <t>1186658804336910336_twitter</t>
  </si>
  <si>
    <t>done wit yo nigga i just want his wallet 🥵</t>
  </si>
  <si>
    <t>200</t>
  </si>
  <si>
    <t>22777710_gab</t>
  </si>
  <si>
    <t>even the crawdads are turning gay</t>
  </si>
  <si>
    <t>201</t>
  </si>
  <si>
    <t>20162017_gab</t>
  </si>
  <si>
    <t>backpedaling fails to point out exactly my comments and resumes to nonsensical aussie retarded babbles go choke on a cock you useless wrinkly aussie slag you are th descendants of the bottom feeders among limeys loll</t>
  </si>
  <si>
    <t>Disabled, Australian</t>
  </si>
  <si>
    <t>Disability, Woman</t>
  </si>
  <si>
    <t>202</t>
  </si>
  <si>
    <t>1125244030948921344_twitter</t>
  </si>
  <si>
    <t>cheating is not the wave grow up you dumbass nigga</t>
  </si>
  <si>
    <t>Men, Black</t>
  </si>
  <si>
    <t>White Men</t>
  </si>
  <si>
    <t>203</t>
  </si>
  <si>
    <t>15832101_gab</t>
  </si>
  <si>
    <t>breaking news sara is a misandrist bitch and race baiting cunt oh wait that not news that just what you do every fucking day</t>
  </si>
  <si>
    <t>204</t>
  </si>
  <si>
    <t>27473743_gab</t>
  </si>
  <si>
    <t>so tommy robinson has been transferred to a &lt;number&gt; asian muslim prison in midlands where he is facing certain death please email write donate do what you can savetommyrobinson</t>
  </si>
  <si>
    <t>ChineseAsian, Muslim</t>
  </si>
  <si>
    <t>Arab, Asian, Islam</t>
  </si>
  <si>
    <t>205</t>
  </si>
  <si>
    <t>1255677976647274497_twitter</t>
  </si>
  <si>
    <t>i refuse to become homosexual but sometimes i really fucking hate these african american hood rat nigger bitches 🐐 goat</t>
  </si>
  <si>
    <t>Woman, Black</t>
  </si>
  <si>
    <t>AfricanBlack, Woman</t>
  </si>
  <si>
    <t>206</t>
  </si>
  <si>
    <t>13450096_gab</t>
  </si>
  <si>
    <t>does anyone recognize this google girl we are supposed to be celebrating she is a random brown person i cannot remember the last time anyone that could be recognized as a white man specifically has been hurrahed by google for no particular reason</t>
  </si>
  <si>
    <t>Woman, Brown</t>
  </si>
  <si>
    <t>Immigrants (general)</t>
  </si>
  <si>
    <t>People of color</t>
  </si>
  <si>
    <t>Caucasian, Men</t>
  </si>
  <si>
    <t>207</t>
  </si>
  <si>
    <t>1178933121041014785_twitter</t>
  </si>
  <si>
    <t>&lt;user&gt; it is your mind otherwise somewhere our male labourers work without shirts so man woman have same back there is no physical difference but according to you if woman wearing clothes like this they provoke someone to rape them मतलब victims itself accused 🤔 🤔 🤔</t>
  </si>
  <si>
    <t>208</t>
  </si>
  <si>
    <t>21149794_gab</t>
  </si>
  <si>
    <t>the policy was wonderfully effective it succeeded in keeping insane kike with taco beaner last name nicholas cruz from suffering the fate of the school to prison pipeline everybody sing kumbaya kumbaya</t>
  </si>
  <si>
    <t>Jewish, MexicanHispanicLatino</t>
  </si>
  <si>
    <t>Jewish people, Hispanic people</t>
  </si>
  <si>
    <t>Hispanic, Jewish</t>
  </si>
  <si>
    <t>209</t>
  </si>
  <si>
    <t>1181626302224371714_twitter</t>
  </si>
  <si>
    <t>&lt;user&gt; parties with leo room full of bad bitch and fine niggas</t>
  </si>
  <si>
    <t>210</t>
  </si>
  <si>
    <t>1078648690162786304_twitter</t>
  </si>
  <si>
    <t>just your daily reminder &lt;user&gt; they are not undocumented immigrants they are i l l e g a l</t>
  </si>
  <si>
    <t>211</t>
  </si>
  <si>
    <t>1178862538412314624_twitter</t>
  </si>
  <si>
    <t>read u in the &lt;user&gt; &lt;user&gt; re the mb municipal v the lgbt community tho beside the point i ask u as a gynaecologist who knows how the reproductive system works what happens to haman kind if we all chose to be homosexual u a real comic</t>
  </si>
  <si>
    <t>212</t>
  </si>
  <si>
    <t>16036388_gab</t>
  </si>
  <si>
    <t>why should homosexual black women deal with pesky male oriented measurements while working on their civil engineering projects what a few centimeters at the end of the day white people can deal with losing a few centimeters because black people dealt with losing everything during slavery</t>
  </si>
  <si>
    <t>African, Men</t>
  </si>
  <si>
    <t>213</t>
  </si>
  <si>
    <t>1178666966514651137_twitter</t>
  </si>
  <si>
    <t>&lt;user&gt; &lt;user&gt; &lt;user&gt; yup it true a lot of jews in my ancestry but people still consider them white and the real rulers of the world lol</t>
  </si>
  <si>
    <t>214</t>
  </si>
  <si>
    <t>14804499_gab</t>
  </si>
  <si>
    <t>well ya can not take the nigger out of the nigger but you can leave the black greasy motherfuckers in china</t>
  </si>
  <si>
    <t>Black, Chinese</t>
  </si>
  <si>
    <t>215</t>
  </si>
  <si>
    <t>1119687800847130624_twitter</t>
  </si>
  <si>
    <t>girls are hot full homo</t>
  </si>
  <si>
    <t>216</t>
  </si>
  <si>
    <t>9645035_gab</t>
  </si>
  <si>
    <t>democrats imitate radical muslims use tactics of harassment violence stand firm trumptrain trumpnation support trump agenda maga</t>
  </si>
  <si>
    <t xml:space="preserve">Muslim </t>
  </si>
  <si>
    <t>Muslim, Democrat</t>
  </si>
  <si>
    <t>217</t>
  </si>
  <si>
    <t>1194769062561288193_twitter</t>
  </si>
  <si>
    <t>&lt;user&gt; do not interact with this tweet if u are gay 🤣 🤣 🤣</t>
  </si>
  <si>
    <t>218</t>
  </si>
  <si>
    <t>26036512_gab</t>
  </si>
  <si>
    <t>the pentagon is like a street nigger constantly bumming cigarettes spare change</t>
  </si>
  <si>
    <t xml:space="preserve">Black </t>
  </si>
  <si>
    <t>219</t>
  </si>
  <si>
    <t>1922657_gab</t>
  </si>
  <si>
    <t>over &lt;number&gt; undocumented immigrants living in california were granted driver licenses in &lt;number&gt; due to california state law ab60 the california department of motor vehicles dmv expects that at least &lt;number&gt; million illegal migrants will be issued a driver license under the law by late &lt;number&gt;</t>
  </si>
  <si>
    <t>220</t>
  </si>
  <si>
    <t>17470399_gab</t>
  </si>
  <si>
    <t>oh karma she right around the corner its hit this yid when she less expected</t>
  </si>
  <si>
    <t>221</t>
  </si>
  <si>
    <t>1179064671615143936_twitter</t>
  </si>
  <si>
    <t>students interns employees should feel safe in their educational work environments which means that they must be actively anti racist against all forms of misogyny and queer phobic practices it horrifying to hear how harassment was handled and they need to do better</t>
  </si>
  <si>
    <t>Woman, Queer</t>
  </si>
  <si>
    <t>222</t>
  </si>
  <si>
    <t>17932399_gab</t>
  </si>
  <si>
    <t>muslim refugees that are overpopulating our mother europe have a dream to steal rob murder live on welfare and rape our beautiful white women their dream is unfortunately coming true</t>
  </si>
  <si>
    <t>Muslim, Refugee</t>
  </si>
  <si>
    <t>Black People, Muslim</t>
  </si>
  <si>
    <t>223</t>
  </si>
  <si>
    <t>17027156_gab</t>
  </si>
  <si>
    <t>camel kike spitting on aryan woman</t>
  </si>
  <si>
    <t>Arab/Muslim, Jewish people</t>
  </si>
  <si>
    <t>Jewish people, Middle Eastern people</t>
  </si>
  <si>
    <t>224</t>
  </si>
  <si>
    <t>9173465_gab</t>
  </si>
  <si>
    <t>strangely i dont believe him if its muzrat its lips are moving its lying however lets hope his plea to not be sent back to australia is granted we dont want the bastard to be kind we should send him his entire family stamp never to return</t>
  </si>
  <si>
    <t>225</t>
  </si>
  <si>
    <t>10488234_gab</t>
  </si>
  <si>
    <t>you openly censor users downvoting freedom push mute selfcensorship a subset of censorship as freedom and are a profitmonger make gab non profit open source transparent bring the community into the dev circle remove mute google analytics and downvote censorship currynigger racetraitor</t>
  </si>
  <si>
    <t>Brown, Black</t>
  </si>
  <si>
    <t>Indian, AfricanBlack</t>
  </si>
  <si>
    <t>226</t>
  </si>
  <si>
    <t>15611789_gab</t>
  </si>
  <si>
    <t>well it sleeping beauty they plan to rewrite first cause she never gave consent to be kissed by the prince the left are seriously fucked in the head and if the bbc show it i am sure she will be a black moslem like thor was</t>
  </si>
  <si>
    <t>African, Islam</t>
  </si>
  <si>
    <t>227</t>
  </si>
  <si>
    <t>1178860972762636289_twitter</t>
  </si>
  <si>
    <t>meanwhile they are called shithole countries</t>
  </si>
  <si>
    <t>Non-white countries</t>
  </si>
  <si>
    <t>228</t>
  </si>
  <si>
    <t>24941415_gab</t>
  </si>
  <si>
    <t>oh i abuse women alright i abuse the fook out that pwussy han</t>
  </si>
  <si>
    <t>229</t>
  </si>
  <si>
    <t>22918483_gab</t>
  </si>
  <si>
    <t>reminder that google is run by jews</t>
  </si>
  <si>
    <t>230</t>
  </si>
  <si>
    <t>25670170_gab</t>
  </si>
  <si>
    <t>a coon is walking down the street when he sees an empty coke can and kicks it a genie appears from the can and grants the man one wish he replies i wanna be white and surrounded by pussy so the genie turned him into a tampon</t>
  </si>
  <si>
    <t>231</t>
  </si>
  <si>
    <t>18420297_gab</t>
  </si>
  <si>
    <t>dose you can not even spell moron who would listen to a dumb illiterate kike like you</t>
  </si>
  <si>
    <t>232</t>
  </si>
  <si>
    <t>7645213_gab</t>
  </si>
  <si>
    <t>we hate islam and we will mock your paedophile prophet mohammed as much as we want no we dont care what you think or how offended you are we are americans and we are free to say what we want bitch banislam</t>
  </si>
  <si>
    <t>233</t>
  </si>
  <si>
    <t>1092081619593252864_twitter</t>
  </si>
  <si>
    <t>bad lil bitch good brain go to college</t>
  </si>
  <si>
    <t>234</t>
  </si>
  <si>
    <t>8523062_gab</t>
  </si>
  <si>
    <t>wtf are you talking about retard boy you are rambling now</t>
  </si>
  <si>
    <t>235</t>
  </si>
  <si>
    <t>1179100120882843649_twitter</t>
  </si>
  <si>
    <t>&lt;user&gt; &lt;user&gt; &lt;user&gt; &lt;user&gt; &lt;user&gt; &lt;user&gt; no he did not he denounced those neo nazis and he said that some were rapists and murderers which they are as shown by the fact that &lt;percent&gt; of trafficked women and girls are raped on the journey to the us border try again</t>
  </si>
  <si>
    <t>236</t>
  </si>
  <si>
    <t>6355604_gab</t>
  </si>
  <si>
    <t>magic dirt theory of nations fails again british born radical muzzie abu izzadeen is the guy named as the killer in the latest london attack</t>
  </si>
  <si>
    <t>Muslim, Immigrant</t>
  </si>
  <si>
    <t>237</t>
  </si>
  <si>
    <t>1178670817451925504_twitter</t>
  </si>
  <si>
    <t>i remember back in grade &lt;number&gt; &lt;number&gt; i was rooting for post malone to make it big white iverson was next level now i fucking hate him cause he makes tracks for white girls who love pumpkin flavour latte</t>
  </si>
  <si>
    <t>238</t>
  </si>
  <si>
    <t>24540668_gab</t>
  </si>
  <si>
    <t>making assumptions lil nigger has been known as sexual harassment within corporations and i can assure you men with fuzzy assholes and prickly beards do not get my knob up lad</t>
  </si>
  <si>
    <t>239</t>
  </si>
  <si>
    <t>1167356734735675392_twitter</t>
  </si>
  <si>
    <t>chickens are bitches dude</t>
  </si>
  <si>
    <t>240</t>
  </si>
  <si>
    <t>7766309_gab</t>
  </si>
  <si>
    <t>it supposed to attract female fans they already have a lock on men so they do not need outreach but yeah it gay and retarded</t>
  </si>
  <si>
    <t>Disability, Homosexual</t>
  </si>
  <si>
    <t>241</t>
  </si>
  <si>
    <t>1092664913045139456_twitter</t>
  </si>
  <si>
    <t>&lt;user&gt; lol pelicans are retarded</t>
  </si>
  <si>
    <t>242</t>
  </si>
  <si>
    <t>20490414_gab</t>
  </si>
  <si>
    <t>spreading the message about jews is now settler tier which is natural and good congratulations you figured out the problem the next step is to do something about it</t>
  </si>
  <si>
    <t>243</t>
  </si>
  <si>
    <t>1090243084187783168_twitter</t>
  </si>
  <si>
    <t>strong women that take no shit from garbage dudes in their mentions got the best pussy</t>
  </si>
  <si>
    <t>244</t>
  </si>
  <si>
    <t>1089588241714634752_twitter</t>
  </si>
  <si>
    <t>i swear if demi does not use flowers or a phoenix as concept for music videos for d7 she can cancel the era</t>
  </si>
  <si>
    <t>245</t>
  </si>
  <si>
    <t>11756950_gab</t>
  </si>
  <si>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</si>
  <si>
    <t>Arab, Black</t>
  </si>
  <si>
    <t>Arab, Muslim, Jewish</t>
  </si>
  <si>
    <t>246</t>
  </si>
  <si>
    <t>1196465289409548288_twitter</t>
  </si>
  <si>
    <t>jhené aiko and big sean ’ relationship is something i never want in my life that level of indecisiveness is ghetto</t>
  </si>
  <si>
    <t>Arab / Muslim</t>
  </si>
  <si>
    <t>247</t>
  </si>
  <si>
    <t>1178898010119561216_twitter</t>
  </si>
  <si>
    <t>niggers whom st release seminal fluid</t>
  </si>
  <si>
    <t>248</t>
  </si>
  <si>
    <t>1236862626732392449_twitter</t>
  </si>
  <si>
    <t>taking down these knotless braids ghetto ass fuck i quit 😂</t>
  </si>
  <si>
    <t>249</t>
  </si>
  <si>
    <t>13099204_gab</t>
  </si>
  <si>
    <t>i do not understand why anyone would watch guys under &lt;number&gt; fight i also do not understand why anyone would watch ugly dykes fight either so maybe it just me</t>
  </si>
  <si>
    <t xml:space="preserve">Homosexual </t>
  </si>
  <si>
    <t>Homosexual (Lesbian)</t>
  </si>
  <si>
    <t>250</t>
  </si>
  <si>
    <t>22090868_gab</t>
  </si>
  <si>
    <t>i would support hezbollah if only they would support palestine turning a blind eye on their fellow arabs makes them complicit imo</t>
  </si>
  <si>
    <t>251</t>
  </si>
  <si>
    <t>16959960_gab</t>
  </si>
  <si>
    <t>i am not blaming period blaming is for pussy faggot little girls i am calling out this kike and bringing his profane audience you to the light</t>
  </si>
  <si>
    <t>Homosexual, Jewish, Woman</t>
  </si>
  <si>
    <t>Homosexual, Jewish, Women</t>
  </si>
  <si>
    <t>252</t>
  </si>
  <si>
    <t>9731096_gab</t>
  </si>
  <si>
    <t>i forgot how much talcum xx lies they turned their backs at the mayor for being at the g20 right after the cops execution and missing the swearing in of new cops some turned their backs at the commissioner too these black niggers create racism so they can feel important</t>
  </si>
  <si>
    <t>253</t>
  </si>
  <si>
    <t>23991722_gab</t>
  </si>
  <si>
    <t>taylor swift is a natural beauty if you compare her to the sheboons in the music industry i understand why men flock to her</t>
  </si>
  <si>
    <t>Black, Woman</t>
  </si>
  <si>
    <t>254</t>
  </si>
  <si>
    <t>25867889_gab</t>
  </si>
  <si>
    <t>well ramadan and it is not a moslem inbreed now there a novelty</t>
  </si>
  <si>
    <t>255</t>
  </si>
  <si>
    <t>1109817267590709249_twitter</t>
  </si>
  <si>
    <t>chike ofili it propaganda to say ifeanyi okowa mentioned the name of ipob god chukwuokikeabiama it a lie from pit of hell</t>
  </si>
  <si>
    <t>256</t>
  </si>
  <si>
    <t>24290896_gab</t>
  </si>
  <si>
    <t>a nigger being randomly violent that totally without precedent</t>
  </si>
  <si>
    <t>257</t>
  </si>
  <si>
    <t>1179038184748896256_twitter</t>
  </si>
  <si>
    <t>if you my nigga and i know you got me i would never abuse your kindness and mutt you but if u think u gonna not be doing shit but watch me pay bills bitch die immediately</t>
  </si>
  <si>
    <t>258</t>
  </si>
  <si>
    <t>1116021310117830662_twitter</t>
  </si>
  <si>
    <t>&lt;user&gt; do not hate yourself for your physical appearance why the heck am i so ugly ughh</t>
  </si>
  <si>
    <t>259</t>
  </si>
  <si>
    <t>1213227832739946496_twitter</t>
  </si>
  <si>
    <t>i ’ m not worried about ww3 i ’ m a illegal immigrant i can ’ t get draft 😂 🖕</t>
  </si>
  <si>
    <t>260</t>
  </si>
  <si>
    <t>10474856_gab</t>
  </si>
  <si>
    <t>boy those evil confederates sure were wrong about need to control hyper violent nigger apes huh</t>
  </si>
  <si>
    <t>261</t>
  </si>
  <si>
    <t>26441748_gab</t>
  </si>
  <si>
    <t>why do white countries pay so much foreign aid and also give refugees money in our own countries why the double dip one or the other or better yet none at all enough is enough we are backing dead horses</t>
  </si>
  <si>
    <t>Refugee, Immigrant</t>
  </si>
  <si>
    <t>262</t>
  </si>
  <si>
    <t>26563758_gab</t>
  </si>
  <si>
    <t>you traded the flh for the ninja do not be offended but i call sport bikes nigger killers</t>
  </si>
  <si>
    <t>Minority, African</t>
  </si>
  <si>
    <t>263</t>
  </si>
  <si>
    <t>2458291_gab</t>
  </si>
  <si>
    <t>&lt;user&gt; homosexuality was a disorder at one time until the queers pressured the shrinks to remove it clearly not science but political same difference here also sexual orientation means anything goes as satan wishes</t>
  </si>
  <si>
    <t>264</t>
  </si>
  <si>
    <t>27158706_gab</t>
  </si>
  <si>
    <t>you can cry all you want if a nazi fag like you steps on my timeline they get butt raped just like you were &lt;user&gt;</t>
  </si>
  <si>
    <t>Jewish, Homosexual</t>
  </si>
  <si>
    <t>265</t>
  </si>
  <si>
    <t>8089281_gab</t>
  </si>
  <si>
    <t>i am sure katy is packing up her bags and renting that new chic apartment in downtown aleppo no barriers means she can finally embrace her peaceful muslim brothers right in their back yard good luck to you katy enjoy that new box cutter necklace</t>
  </si>
  <si>
    <t>266</t>
  </si>
  <si>
    <t>1116609926174928898_twitter</t>
  </si>
  <si>
    <t>to get durga shakti women has to change thier bad habits and also don t cut hairs</t>
  </si>
  <si>
    <t>267</t>
  </si>
  <si>
    <t>17372469_gab</t>
  </si>
  <si>
    <t>an these nigger biches look like godzilla nasty</t>
  </si>
  <si>
    <t>Minority, Other, African, Nonreligious, Other</t>
  </si>
  <si>
    <t>268</t>
  </si>
  <si>
    <t>23965754_gab</t>
  </si>
  <si>
    <t>rt tookenglandback politics in brexit britain is now firmly divided between patriots and liberal left wing traitors patriots will make our country great again for natives liberal and left wing traitors will continue to put the needs of immigrants asylum seekers and refugees first</t>
  </si>
  <si>
    <t>Refugee, Other</t>
  </si>
  <si>
    <t>269</t>
  </si>
  <si>
    <t>1179048017887936515_twitter</t>
  </si>
  <si>
    <t>&lt;user&gt; lol fuck you to nigga</t>
  </si>
  <si>
    <t>270</t>
  </si>
  <si>
    <t>1178344462814076928_twitter</t>
  </si>
  <si>
    <t>&lt;user&gt; lmao im finna b a dyke &lt;number&gt;</t>
  </si>
  <si>
    <t>271</t>
  </si>
  <si>
    <t>21536821_gab</t>
  </si>
  <si>
    <t>unless you are a nonwhite right not saying you should accept or tolerate our globalist brethren or you have to associate with us but to accept that there are based kikes and niggers as frustrated and upset as you</t>
  </si>
  <si>
    <t>Jewis, Black</t>
  </si>
  <si>
    <t>Jewish, Black people</t>
  </si>
  <si>
    <t>African, Jewish, None</t>
  </si>
  <si>
    <t>272</t>
  </si>
  <si>
    <t>13156896_gab</t>
  </si>
  <si>
    <t>do not be a retarded tool and do your research before you start defaming people who are just trying to tell you the truth</t>
  </si>
  <si>
    <t>273</t>
  </si>
  <si>
    <t>1179079609696096263_twitter</t>
  </si>
  <si>
    <t>don t become the nigga das like i am not giving a bitch shit bc das how you block your blessings</t>
  </si>
  <si>
    <t>274</t>
  </si>
  <si>
    <t>1179017667287621633_twitter</t>
  </si>
  <si>
    <t>unprivating because what is that abusive women gonna do report me for swearing mkay luv go awf</t>
  </si>
  <si>
    <t>275</t>
  </si>
  <si>
    <t>1178377999282036736_twitter</t>
  </si>
  <si>
    <t>&lt;user&gt; ur definitely right cuz if a nigga do not want no head he a faggot ass nigga 🤣 🤣 🤣 🤣 ❗ ️</t>
  </si>
  <si>
    <t>Homosexual, Black</t>
  </si>
  <si>
    <t>Gay people, Black people</t>
  </si>
  <si>
    <t>276</t>
  </si>
  <si>
    <t>1178733429434834945_twitter</t>
  </si>
  <si>
    <t>&lt;user&gt; &lt;user&gt; there pink i am getting in on this faggots</t>
  </si>
  <si>
    <t>277</t>
  </si>
  <si>
    <t>17124971_gab</t>
  </si>
  <si>
    <t>fools all the muslims participating in the iranprotests are doing it because jews have already offered them visas a brand new car foodstamps and an apartment in the usa</t>
  </si>
  <si>
    <t>Jewish, Muslim</t>
  </si>
  <si>
    <t>Islam, Jewish</t>
  </si>
  <si>
    <t>Arab, Islam, Jewish</t>
  </si>
  <si>
    <t>278</t>
  </si>
  <si>
    <t>12158323_gab</t>
  </si>
  <si>
    <t>for all the muslim goatfuckers</t>
  </si>
  <si>
    <t>Asian People</t>
  </si>
  <si>
    <t>279</t>
  </si>
  <si>
    <t>11580271_gab</t>
  </si>
  <si>
    <t>leftists are bad at marxmanship anders breivik required &lt;number&gt; shots to kill &lt;number&gt; bernie bro at gop ball field fired &lt;number&gt; rounds &lt;number&gt; kills copenhagen moslem attack had &lt;number&gt; rounds fired with only one dead that was not the cartoonist target</t>
  </si>
  <si>
    <t>280</t>
  </si>
  <si>
    <t>1179063229907177474_twitter</t>
  </si>
  <si>
    <t>she always wanna bring this extra gay person out of me 😭 😭 😭 😭</t>
  </si>
  <si>
    <t>281</t>
  </si>
  <si>
    <t>13556254_gab</t>
  </si>
  <si>
    <t>i hope she gets gang raped by niggers</t>
  </si>
  <si>
    <t>282</t>
  </si>
  <si>
    <t>1179033155673526272_twitter</t>
  </si>
  <si>
    <t>&lt;user&gt; ching chong oil 🤧</t>
  </si>
  <si>
    <t>Asian people</t>
  </si>
  <si>
    <t>283</t>
  </si>
  <si>
    <t>26686413_gab</t>
  </si>
  <si>
    <t>has this nigger looked in the mirror lately</t>
  </si>
  <si>
    <t>284</t>
  </si>
  <si>
    <t>25603522_gab</t>
  </si>
  <si>
    <t>pro tip for any of our free speech facebook group refugees here click your profile photo in the upper right corner select dark mode trust me you will thank me honestly dark mode should be the gab default with how much better looking it makes the site</t>
  </si>
  <si>
    <t>285</t>
  </si>
  <si>
    <t>1177801777154052096_twitter</t>
  </si>
  <si>
    <t>shut this billionaire bugatti brick this nigger pole</t>
  </si>
  <si>
    <t>286</t>
  </si>
  <si>
    <t>15804188_gab</t>
  </si>
  <si>
    <t>god there are such retarded people on this planet</t>
  </si>
  <si>
    <t>287</t>
  </si>
  <si>
    <t>19952264_gab</t>
  </si>
  <si>
    <t>everytime groid prez obeezy opened his mouth white americans bought guns ammo accessories most polarizing president ever obama claimed he d be bringing ppl together that meant black not ppl unifying not multicultural kumbaya and coca cola</t>
  </si>
  <si>
    <t>288</t>
  </si>
  <si>
    <t>11675063_gab</t>
  </si>
  <si>
    <t>especially since he claims he is a gay man</t>
  </si>
  <si>
    <t>289</t>
  </si>
  <si>
    <t>8458621_gab</t>
  </si>
  <si>
    <t>islam is not a peaceful religion you goddamned lying bitch</t>
  </si>
  <si>
    <t>Arab, Islam, Women</t>
  </si>
  <si>
    <t>290</t>
  </si>
  <si>
    <t>18088062_gab</t>
  </si>
  <si>
    <t>this morbid yid with fleas brown only in his shithole</t>
  </si>
  <si>
    <t>291</t>
  </si>
  <si>
    <t>1184640429733474304_twitter</t>
  </si>
  <si>
    <t>asap rocky talkin bout how he been a sex addict since junior high nigga join the club</t>
  </si>
  <si>
    <t>292</t>
  </si>
  <si>
    <t>16163917_gab</t>
  </si>
  <si>
    <t>what kind of ironic about this is that a lot of deep ghetto blacks have asiatic eyes anyone else notice the same thing</t>
  </si>
  <si>
    <t>293</t>
  </si>
  <si>
    <t>1117155026277949440_twitter</t>
  </si>
  <si>
    <t>&lt;user&gt; &lt;user&gt; what you dont want illegal aliens in your city liberal logic is illogical</t>
  </si>
  <si>
    <t>294</t>
  </si>
  <si>
    <t>1179084900814725120_twitter</t>
  </si>
  <si>
    <t>&lt;user&gt; fuck the alphabet community lmao bunch of faggots</t>
  </si>
  <si>
    <t>295</t>
  </si>
  <si>
    <t>1178484246975045632_twitter</t>
  </si>
  <si>
    <t>i am fuckin allergic to white lesbians with pixie cuts they make me itch</t>
  </si>
  <si>
    <t>White lesbian women</t>
  </si>
  <si>
    <t>296</t>
  </si>
  <si>
    <t>19821887_gab</t>
  </si>
  <si>
    <t>this is why jews and niggers hate cultural appropriation mr bond makes better rap music getting shoahed from youtube twice a month than this slob makes with tens of thousands of white guilt dollars</t>
  </si>
  <si>
    <t>Jewish, AfricanBlack</t>
  </si>
  <si>
    <t>297</t>
  </si>
  <si>
    <t>1123781577811615744_twitter</t>
  </si>
  <si>
    <t>bitches be like halsey and dating are officially jimin like move bitch thats my girl</t>
  </si>
  <si>
    <t>298</t>
  </si>
  <si>
    <t>16831187_gab</t>
  </si>
  <si>
    <t>the jew programming is not silent on the matter though is it according to them white people keep money and jobs out of the hands of blacks who are forced to become dindus and chimp out with retard level violence if only we gave them reparations they would be superintelligent space explorers</t>
  </si>
  <si>
    <t>Black, Jewish</t>
  </si>
  <si>
    <t>299</t>
  </si>
  <si>
    <t>15739905_gab</t>
  </si>
  <si>
    <t>this is what happens when you let alt troasties think they are allowed to have opinions they suddenly get the idea that fucking niggers is ok as long as they do not do it anymore how many nigger dicks have you sucked before whore</t>
  </si>
  <si>
    <t>300</t>
  </si>
  <si>
    <t>16119996_gab</t>
  </si>
  <si>
    <t>i hope a nigger sneaks into his room and rapes him like in kill bill before he finally dies ✝️ 😇 ✝️</t>
  </si>
  <si>
    <t>301</t>
  </si>
  <si>
    <t>1178884300520988672_twitter</t>
  </si>
  <si>
    <t>&lt;user&gt; slayter is also a faggot</t>
  </si>
  <si>
    <t>Black People (Kwanzaa)</t>
  </si>
  <si>
    <t>302</t>
  </si>
  <si>
    <t>1361461_gab</t>
  </si>
  <si>
    <t>killary is such a bitch she should be behind bars</t>
  </si>
  <si>
    <t>303</t>
  </si>
  <si>
    <t>1178676461911175168_twitter</t>
  </si>
  <si>
    <t>&lt;user&gt; &lt;user&gt; lol when i was in the military some of them white people at the club was fun to watch</t>
  </si>
  <si>
    <t>304</t>
  </si>
  <si>
    <t>9237072_gab</t>
  </si>
  <si>
    <t>looking forward to fag and dyke pride month being over with</t>
  </si>
  <si>
    <t>Gay/Lesbian people</t>
  </si>
  <si>
    <t>305</t>
  </si>
  <si>
    <t>16948071_gab</t>
  </si>
  <si>
    <t>ok bigots time to spell kwanzaa with that retarded extra a no less an authority than readers digest describes how it came to be they know what time it is holy fsck did i just quote rd how ohhld am i geez</t>
  </si>
  <si>
    <t>LGBTQ+, Arab</t>
  </si>
  <si>
    <t>306</t>
  </si>
  <si>
    <t>20233877_gab</t>
  </si>
  <si>
    <t>city wil l soon be worthless ghetto like chicago billions in debt no profitable businesses just gov subsidized companies</t>
  </si>
  <si>
    <t>Black/urban areas</t>
  </si>
  <si>
    <t>307</t>
  </si>
  <si>
    <t>1179101291399847936_twitter</t>
  </si>
  <si>
    <t>she say bre you fine i am like bitch break ya back for a stack hoe 🥶</t>
  </si>
  <si>
    <t>308</t>
  </si>
  <si>
    <t>26340323_gab</t>
  </si>
  <si>
    <t>no doubt it hard to talk when she taking a load in her mouth with old harveyweinstein what some nasty women them bitches are</t>
  </si>
  <si>
    <t>309</t>
  </si>
  <si>
    <t>1179032123413426177_twitter</t>
  </si>
  <si>
    <t>but just because it is illegal and — as much as i hate it — have very bad punishments does not mean that all arabs think the lgbt community is bad some tolerate some support in silence just like everyone else the topic is quite irrelevant though but it</t>
  </si>
  <si>
    <t>310</t>
  </si>
  <si>
    <t>1178099912749092864_twitter</t>
  </si>
  <si>
    <t>&lt;user&gt; &lt;user&gt; &lt;user&gt; &lt;user&gt; &lt;user&gt; &lt;user&gt; &lt;user&gt; sweetie like i said look in the mirror you might want to refrain from posting yours it not a good look even for trailer trash poor plump thing</t>
  </si>
  <si>
    <t>Poor white women</t>
  </si>
  <si>
    <t>Economic, Caucasian</t>
  </si>
  <si>
    <t>311</t>
  </si>
  <si>
    <t>13667671_gab</t>
  </si>
  <si>
    <t>fox news bill o reilly given &lt;number&gt; million contract just weeks after sexual harassment payout telegraph hotpagenews com r &lt;number&gt;</t>
  </si>
  <si>
    <t>312</t>
  </si>
  <si>
    <t>1087669354370617345_twitter</t>
  </si>
  <si>
    <t>men be complaining about women wearing too short clothes while they still wear their old ass sweatpants with &lt;number&gt; months old cum on it</t>
  </si>
  <si>
    <t>313</t>
  </si>
  <si>
    <t>8214804_gab</t>
  </si>
  <si>
    <t>that would be muzrat men i use the term men as lossley as possible they do seem to overlook the female suicide bombers though dont they</t>
  </si>
  <si>
    <t>Muslim, Men</t>
  </si>
  <si>
    <t>Black, Muslim, Jewish, Latino</t>
  </si>
  <si>
    <t>314</t>
  </si>
  <si>
    <t>17593622_gab</t>
  </si>
  <si>
    <t>billionaire cool still a fucking nigger</t>
  </si>
  <si>
    <t>315</t>
  </si>
  <si>
    <t>22799173_gab</t>
  </si>
  <si>
    <t>so just asians now right</t>
  </si>
  <si>
    <t>316</t>
  </si>
  <si>
    <t>13512435_gab</t>
  </si>
  <si>
    <t>part of the effect that came with promoting integration in the &lt;number&gt; and &lt;number&gt; was the fact that blacks have a pitiful kind of bearing and whites an imperial one the poor whittle face of the negro race compared to his strong counterpart won him many sympathy pity points</t>
  </si>
  <si>
    <t>317</t>
  </si>
  <si>
    <t>11412453_gab</t>
  </si>
  <si>
    <t>many reasons i just know when m billions of blax muzzeez la raza jews and christinas say they want to exterminate all white people and start doing it i believe them</t>
  </si>
  <si>
    <t>Muslim, Jewish</t>
  </si>
  <si>
    <t>White people, Ethnic minorities</t>
  </si>
  <si>
    <t>Christian, Islam, Jewish</t>
  </si>
  <si>
    <t>Hispanic, Christian, Jewish</t>
  </si>
  <si>
    <t>318</t>
  </si>
  <si>
    <t>1079951197480439808_twitter</t>
  </si>
  <si>
    <t>&lt;user&gt; i hate you</t>
  </si>
  <si>
    <t>319</t>
  </si>
  <si>
    <t>13461617_gab</t>
  </si>
  <si>
    <t>quit watching porn and get white babies born they do not want us to reproduce</t>
  </si>
  <si>
    <t>AfricanBlack (or other non-Caucasian)</t>
  </si>
  <si>
    <t>Non-white people</t>
  </si>
  <si>
    <t>320</t>
  </si>
  <si>
    <t>1178864181262651392_twitter</t>
  </si>
  <si>
    <t>&lt;user&gt; &lt;user&gt; if you polled nazis and white nationalists they d say the same thing lol oh wait that all of breitbart readers</t>
  </si>
  <si>
    <t>Right-wing</t>
  </si>
  <si>
    <t>321</t>
  </si>
  <si>
    <t>23666122_gab</t>
  </si>
  <si>
    <t>&lt;number&gt; young white dudes killed in an accident the bolshevik left maybe that not so bad</t>
  </si>
  <si>
    <t>Black people, Leftists</t>
  </si>
  <si>
    <t>322</t>
  </si>
  <si>
    <t>9492327_gab</t>
  </si>
  <si>
    <t>the somalian immigrant worries about his gibs what little amount of worry his puny frontal lobes allow him to have since he is literally unable to think of the future as he assaults the respectable hard working white people whose taxes will pay for his generous gibs</t>
  </si>
  <si>
    <t>Somali, African</t>
  </si>
  <si>
    <t>Somali/Black immigrants</t>
  </si>
  <si>
    <t>African immigrants</t>
  </si>
  <si>
    <t>323</t>
  </si>
  <si>
    <t>1266536467662352384_twitter</t>
  </si>
  <si>
    <t>i heard a black girl hit a security guard dyke wit the meanest “ shut up bitch ” i ever heard in atlanta i was cryin dog</t>
  </si>
  <si>
    <t>324</t>
  </si>
  <si>
    <t>1082144562641100800_twitter</t>
  </si>
  <si>
    <t>thots am retarded</t>
  </si>
  <si>
    <t>Women, People with disabilities</t>
  </si>
  <si>
    <t>325</t>
  </si>
  <si>
    <t>6717125_gab</t>
  </si>
  <si>
    <t>eu a trade based organization built on economic commerce is now attempting to force it member states to accept refugees from greece and italy or else withdraw from the eu hey you guys now your chance trump maga freedomcaucus</t>
  </si>
  <si>
    <t>Muslim Refugees, Black People</t>
  </si>
  <si>
    <t>326</t>
  </si>
  <si>
    <t>1179095843929853953_twitter</t>
  </si>
  <si>
    <t>what a useless bitch &lt;sad&gt;</t>
  </si>
  <si>
    <t>327</t>
  </si>
  <si>
    <t>21746582_gab</t>
  </si>
  <si>
    <t>sucking up for the moslem shite community as usual his one and only consideration what an evil twisted short arsed moslem shite he is</t>
  </si>
  <si>
    <t>328</t>
  </si>
  <si>
    <t>1276135409219706880_twitter</t>
  </si>
  <si>
    <t>&lt;user&gt; this is one of your more terrible takes survivors of the holocaust do not want auschwitz torn down so people remember</t>
  </si>
  <si>
    <t>329</t>
  </si>
  <si>
    <t>4992787_gab</t>
  </si>
  <si>
    <t>hooters has also offered to hire &lt;number&gt; refugees instead of veterans or unemployed americans uh huh because nothing says hooters like a black beekeeper burka sack serving you buffalo wings and beer</t>
  </si>
  <si>
    <t>Arab, Refugee</t>
  </si>
  <si>
    <t>330</t>
  </si>
  <si>
    <t>3436090_gab</t>
  </si>
  <si>
    <t>blow up some buildings blow up a marathon rape women and murder a bunch of queers in a club stay all you want expose a democrat e mail conversation get the fuck out of the country liberal logic</t>
  </si>
  <si>
    <t>Woman, Homosexual</t>
  </si>
  <si>
    <t>Women, Gay people</t>
  </si>
  <si>
    <t>Muslim people, LGBTQ+ people</t>
  </si>
  <si>
    <t>Hate spech</t>
  </si>
  <si>
    <t>331</t>
  </si>
  <si>
    <t>1178771601824915456_twitter</t>
  </si>
  <si>
    <t>all jokes to the front niggas be queer</t>
  </si>
  <si>
    <t>Black, Queer</t>
  </si>
  <si>
    <t>332</t>
  </si>
  <si>
    <t>4299781_gab</t>
  </si>
  <si>
    <t>lmao wow they really do not allow you to go around calling people kike on twitter anymore lmfao banned again</t>
  </si>
  <si>
    <t>333</t>
  </si>
  <si>
    <t>1120734025885392897_twitter</t>
  </si>
  <si>
    <t>this is so fucking retarded</t>
  </si>
  <si>
    <t>334</t>
  </si>
  <si>
    <t>1163528006272290816_twitter</t>
  </si>
  <si>
    <t>you know sacramento is ghetto as fuck when you ’ re not even faced by homeless crackheads tryin to jump of capitol bridge</t>
  </si>
  <si>
    <t>Homeless</t>
  </si>
  <si>
    <t>335</t>
  </si>
  <si>
    <t>17484066_gab</t>
  </si>
  <si>
    <t>he is so oppressed nike is selling his shoes to his ghetto brothers for only &lt;number&gt;</t>
  </si>
  <si>
    <t>336</t>
  </si>
  <si>
    <t>14350009_gab</t>
  </si>
  <si>
    <t>of course if you are a homosexual clothing designer or activist you seek to design women clothing in such a way that regresses women to a state of looking like little boys is that healthy well to leftists it is this too shall pass maga redpill</t>
  </si>
  <si>
    <t>Gay men</t>
  </si>
  <si>
    <t>337</t>
  </si>
  <si>
    <t>1188593808667103232_twitter</t>
  </si>
  <si>
    <t>you ’ d think pdogg grew up in la during the la riots the way he be in the studio cookin up these ghetto ass beats</t>
  </si>
  <si>
    <t>None (general)</t>
  </si>
  <si>
    <t>338</t>
  </si>
  <si>
    <t>1259646090254577664_twitter</t>
  </si>
  <si>
    <t>&lt;user&gt; do not worry sister we are also with our muslim brothers and sisters we will fight together</t>
  </si>
  <si>
    <t>339</t>
  </si>
  <si>
    <t>1216836100188180480_twitter</t>
  </si>
  <si>
    <t>no asians no women on my profile thank u 💞</t>
  </si>
  <si>
    <t>Asian, Woman</t>
  </si>
  <si>
    <t>Asian people, Women</t>
  </si>
  <si>
    <t>340</t>
  </si>
  <si>
    <t>24232732_gab</t>
  </si>
  <si>
    <t>what a faggot fuck sessions the little bitch</t>
  </si>
  <si>
    <t>Gay people, Women</t>
  </si>
  <si>
    <t>341</t>
  </si>
  <si>
    <t>1179100967981244418_twitter</t>
  </si>
  <si>
    <t>the weirdest moment in house of &lt;number&gt; corpses is when the old rob zombie ass redneck grandpa name drops jimmy olsen aka the superman character no one cares about</t>
  </si>
  <si>
    <t>Black Women</t>
  </si>
  <si>
    <t>342</t>
  </si>
  <si>
    <t>1180950293644754945_twitter</t>
  </si>
  <si>
    <t>we close in &lt;number&gt; minutes but old white lady</t>
  </si>
  <si>
    <t>343</t>
  </si>
  <si>
    <t>9072261_gab</t>
  </si>
  <si>
    <t>it keeps normies distracted by a media propaganda wall of a far right and neo nazi threat the does not exist and cloaks the rabid islamic and corporate fascism being installed</t>
  </si>
  <si>
    <t>Caucasian, Islam</t>
  </si>
  <si>
    <t>344</t>
  </si>
  <si>
    <t>1179031715194511360_twitter</t>
  </si>
  <si>
    <t>&lt;user&gt; if its not hillbilly cousin fucking town then yes for that price 🤣</t>
  </si>
  <si>
    <t>Rural white people</t>
  </si>
  <si>
    <t>345</t>
  </si>
  <si>
    <t>1201617776940589056_twitter</t>
  </si>
  <si>
    <t>i like when they pretty and ghetto type of bitch that don ’ t say hello</t>
  </si>
  <si>
    <t>346</t>
  </si>
  <si>
    <t>19261608_gab</t>
  </si>
  <si>
    <t>well if we all go around killing people our system devolves from order to chaos ghetto</t>
  </si>
  <si>
    <t>347</t>
  </si>
  <si>
    <t>17337071_gab</t>
  </si>
  <si>
    <t>i am atheist i will fight against islam to the death i have seen how vile muzzies are</t>
  </si>
  <si>
    <t>348</t>
  </si>
  <si>
    <t>16353302_gab</t>
  </si>
  <si>
    <t>good morning to all the new gabbers except kikes liberals fags leftists communists boomers zionists israel firstitards antifags spics and niggers because</t>
  </si>
  <si>
    <t>Jewish, Gay, Hispanic, Black people</t>
  </si>
  <si>
    <t>Jewish people, Gay people, Liberals, Immigrants</t>
  </si>
  <si>
    <t>Heterosexual, Homosexual, African, Arab, Asian, Caucasian, Hispanic, Christian, Islam, Jewish, Men, Women, None</t>
  </si>
  <si>
    <t>Homosexual, African, Jewish</t>
  </si>
  <si>
    <t>349</t>
  </si>
  <si>
    <t>10088571_gab</t>
  </si>
  <si>
    <t>jews are the only enemy in the history of the world that resort to crying its anti semitic to resist my actions boo hoo</t>
  </si>
  <si>
    <t>350</t>
  </si>
  <si>
    <t>4730172_gab</t>
  </si>
  <si>
    <t>people who use gab are nazi people who voted for trump are nazi delete uber or your a nazi hm installing uber now had i never actually studied the history that these retarded extremist leftist obviously did not i would be convinced that these nazi fellows were pretty awesome guys</t>
  </si>
  <si>
    <t>Nazis, Leftists, People with disabilities</t>
  </si>
  <si>
    <t>351</t>
  </si>
  <si>
    <t>1258834932811665408_twitter</t>
  </si>
  <si>
    <t>&lt;user&gt; i swear lee min ho will successfully turn me gayy 😪 😪 💔 💔</t>
  </si>
  <si>
    <t>352</t>
  </si>
  <si>
    <t>12388204_gab</t>
  </si>
  <si>
    <t>anybody noticed how lefties have changed tactics now their waycyst card has become so worn useless anybody against mass gimmiegration multicul moslem fascists are white supremacists still will not defeat the right we are on the rise cultural marxism is a busted flush</t>
  </si>
  <si>
    <t>353</t>
  </si>
  <si>
    <t>26972299_gab</t>
  </si>
  <si>
    <t>get the muslin kids to say jesus is the one and only son of god then you will see muslim outrage</t>
  </si>
  <si>
    <t>354</t>
  </si>
  <si>
    <t>1178885060360953857_twitter</t>
  </si>
  <si>
    <t>&lt;user&gt; by that logic every time trump is called a neo nazi racist or white supremacist it an incitement of violence against the president</t>
  </si>
  <si>
    <t>355</t>
  </si>
  <si>
    <t>1237823839540740096_twitter</t>
  </si>
  <si>
    <t>&lt;user&gt; someone give me muslim accounts to follow i wanna practice my lying</t>
  </si>
  <si>
    <t>356</t>
  </si>
  <si>
    <t>1239709523155333120_twitter</t>
  </si>
  <si>
    <t>&lt;user&gt; u r cute tf im extra gay for u</t>
  </si>
  <si>
    <t>357</t>
  </si>
  <si>
    <t>15133126_gab</t>
  </si>
  <si>
    <t>lol nice boomerposting hey does kike jism taste better on the shabbat you d know after all lol gimme more</t>
  </si>
  <si>
    <t>LGBTQ+, Asian</t>
  </si>
  <si>
    <t>358</t>
  </si>
  <si>
    <t>1178638779428605952_twitter</t>
  </si>
  <si>
    <t>&lt;user&gt; omitting the part where you raped someone and threatened to kill yourself if they left you</t>
  </si>
  <si>
    <t>359</t>
  </si>
  <si>
    <t>1178751553483739141_twitter</t>
  </si>
  <si>
    <t>&lt;user&gt; why did 3 v3 rep get raped l</t>
  </si>
  <si>
    <t>360</t>
  </si>
  <si>
    <t>14834348_gab</t>
  </si>
  <si>
    <t>according to the nrk police figures from olso reveal that over the past three years they have investigated a total of &lt;number&gt; cases of rape in that city all of these assaults reports nrk were carried out by non western immigrants to norway</t>
  </si>
  <si>
    <t>Non-western immigrants</t>
  </si>
  <si>
    <t>361</t>
  </si>
  <si>
    <t>1178689664275927040_twitter</t>
  </si>
  <si>
    <t>my facebook queer asians groupchat is my whole life rn</t>
  </si>
  <si>
    <t>Asian, Homosexual</t>
  </si>
  <si>
    <t>362</t>
  </si>
  <si>
    <t>13238512_gab</t>
  </si>
  <si>
    <t>cuz civic nationalism does not work diversity inherently creates conflict and for every &lt;number&gt; 2 nd 3 rd gen immigrant who wants to become american &lt;number&gt; do not humans are inherently tribal civic nationalism tries to undo this in favor of creating a tribe around a flag but it fights human nature loses</t>
  </si>
  <si>
    <t>363</t>
  </si>
  <si>
    <t>1179094638231031808_twitter</t>
  </si>
  <si>
    <t>white claws are for white girls what michelob ultras are to mexican girls just an excuse to get drunk unleash their inner slut 🤣</t>
  </si>
  <si>
    <t>Woman, Mexican</t>
  </si>
  <si>
    <t>Hispanic, Mexican people</t>
  </si>
  <si>
    <t>364</t>
  </si>
  <si>
    <t>1178816974794760192_twitter</t>
  </si>
  <si>
    <t>&lt;user&gt; &lt;user&gt; &lt;user&gt; there were no tikis for christopher newsom and channon christian they were held down by blacks and their genitals cut off then raped and murdered not even charged with hate crime that is hypocrisy get educated</t>
  </si>
  <si>
    <t>365</t>
  </si>
  <si>
    <t>17421755_gab</t>
  </si>
  <si>
    <t>anybody that stands with the jews is a marikita that has no balls</t>
  </si>
  <si>
    <t>Jewish, Women</t>
  </si>
  <si>
    <t>366</t>
  </si>
  <si>
    <t>16189047_gab</t>
  </si>
  <si>
    <t>based poland will deploy the shrike force nigger cleanup robots</t>
  </si>
  <si>
    <t>367</t>
  </si>
  <si>
    <t>18673891_gab</t>
  </si>
  <si>
    <t>hey guys i just saw the greates name for don lemon ahem nigger cunt</t>
  </si>
  <si>
    <t>368</t>
  </si>
  <si>
    <t>1178727925941559296_twitter</t>
  </si>
  <si>
    <t>&lt;user&gt; he better have cleaned himself up then dude been looking like white trailer trash dating a damn model smh</t>
  </si>
  <si>
    <t>Caucasian, Economic Status Status</t>
  </si>
  <si>
    <t>Poor white people</t>
  </si>
  <si>
    <t>369</t>
  </si>
  <si>
    <t>1142341419140636672_twitter</t>
  </si>
  <si>
    <t>&lt;user&gt; w why is he a nazi</t>
  </si>
  <si>
    <t>370</t>
  </si>
  <si>
    <t>1179049468764839943_twitter</t>
  </si>
  <si>
    <t>&lt;user&gt; same we should just kill all the da ron of the world</t>
  </si>
  <si>
    <t>371</t>
  </si>
  <si>
    <t>26241500_gab</t>
  </si>
  <si>
    <t>&lt;number&gt; government agencies work muslim community they are so sick in the head that the social care budget gone london black and muslim youth given millions because they stab each other to death</t>
  </si>
  <si>
    <t>Black, Muslim</t>
  </si>
  <si>
    <t>372</t>
  </si>
  <si>
    <t>20571496_gab</t>
  </si>
  <si>
    <t>bathhouse barry sucks dicks he a faggot muzzie</t>
  </si>
  <si>
    <t>Gay people, Muslim people</t>
  </si>
  <si>
    <t>373</t>
  </si>
  <si>
    <t>1187901870192414725_twitter</t>
  </si>
  <si>
    <t>prolly heard i was a hoe from a hoe</t>
  </si>
  <si>
    <t>White People (Norwegians)</t>
  </si>
  <si>
    <t>374</t>
  </si>
  <si>
    <t>24996887_gab</t>
  </si>
  <si>
    <t>it one of the bits of ghetto slang that has entered internet slang through the medium of irony og original gangster just read it as original</t>
  </si>
  <si>
    <t>375</t>
  </si>
  <si>
    <t>16281001_gab</t>
  </si>
  <si>
    <t>them feels when you realize yo girl just ran off with a nigger</t>
  </si>
  <si>
    <t>376</t>
  </si>
  <si>
    <t>4300173_gab</t>
  </si>
  <si>
    <t>how many feminists will get raped tonight by the diverse filth they are currently marching with then blame men no right wing straight white male wants to touch your std infested multiculturally accecable hatchet wound and i think that really why you are angry womensmarch</t>
  </si>
  <si>
    <t>Woman, (non-Caucasian)</t>
  </si>
  <si>
    <t>Women/Feminists, Minorities</t>
  </si>
  <si>
    <t>377</t>
  </si>
  <si>
    <t>27984542_gab</t>
  </si>
  <si>
    <t>norwegians just as retarded as the rest of w europe importing murdering raping incestious pedophiles to a once beautiful country have caucasians no brain these days</t>
  </si>
  <si>
    <t>378</t>
  </si>
  <si>
    <t>5769043_gab</t>
  </si>
  <si>
    <t>next weeks stephan molyneux shows will be titled coons are they even the same species and the truth about drowning picaninies in a bucket</t>
  </si>
  <si>
    <t>379</t>
  </si>
  <si>
    <t>23619285_gab</t>
  </si>
  <si>
    <t>there is nowhere in the new testament aka christianity that advocates violence of any kind islam is not an abrahamic religion it is a mockery of it</t>
  </si>
  <si>
    <t>380</t>
  </si>
  <si>
    <t>1179085028740853760_twitter</t>
  </si>
  <si>
    <t>chimmy ching chong great wall</t>
  </si>
  <si>
    <t>Asian/Chinese people</t>
  </si>
  <si>
    <t>381</t>
  </si>
  <si>
    <t>18625305_gab</t>
  </si>
  <si>
    <t>this is the faggot crying about being harassed by nazis unbelievable</t>
  </si>
  <si>
    <t>382</t>
  </si>
  <si>
    <t>19156920_gab</t>
  </si>
  <si>
    <t>a cunardly group sex mobile glory hole device its no3 on the takeaway menu cunardly made ceramic sinks a cunardly sink chink</t>
  </si>
  <si>
    <t>Chinese/Asian people</t>
  </si>
  <si>
    <t>383</t>
  </si>
  <si>
    <t>1178957885604130816_twitter</t>
  </si>
  <si>
    <t>&lt;user&gt; who cares they blocked you if they are not up to task move on i am so concerned about queer theory gaining a foothold in schools we need lgb groups contributing to school policy we can not leave it to the homophobes or trans extremists</t>
  </si>
  <si>
    <t>Trans</t>
  </si>
  <si>
    <t>384</t>
  </si>
  <si>
    <t>15745653_gab</t>
  </si>
  <si>
    <t>this is a good story &lt;number&gt; those times you hear we are a nation of immigrants wish there was a whiney font no other group of people came here started demanding that everyone make these kind of changes to accommodate them the way the muzzies do</t>
  </si>
  <si>
    <t>385</t>
  </si>
  <si>
    <t>1081685508626022400_twitter</t>
  </si>
  <si>
    <t>a lot of white men from texas are currently offering unsolicited coaching advice to their significant others colts texans</t>
  </si>
  <si>
    <t>LGBTQ+, Jewish People</t>
  </si>
  <si>
    <t>386</t>
  </si>
  <si>
    <t>1178820537818259456_twitter</t>
  </si>
  <si>
    <t>we encourage white native born americans to learn another language but we see it as a deficit for immigrant children that are imagined as lower class to maintain fluency in their native tongues p &lt;number&gt; latina teacher sad truth</t>
  </si>
  <si>
    <t>387</t>
  </si>
  <si>
    <t>12156413_gab</t>
  </si>
  <si>
    <t>alt retard is gonna alt retard cultlife</t>
  </si>
  <si>
    <t>Caucasian, Other</t>
  </si>
  <si>
    <t>388</t>
  </si>
  <si>
    <t>22085044_gab</t>
  </si>
  <si>
    <t>could some meme warrior make a meme from this story depicting antifa killing the last male white rhinoceros in an attempt to eradicate white privilege in the rhino community</t>
  </si>
  <si>
    <t>389</t>
  </si>
  <si>
    <t>1179097859154595841_twitter</t>
  </si>
  <si>
    <t>some ideas for protest chants i am gay horse eat hay i am a jew i dropped out of school faggots make some noise nazis do not deserve a voice i have teeth i have teeth my father is distant we must remain resistant</t>
  </si>
  <si>
    <t>LGBTQ+ (neo-nazis called faggots)</t>
  </si>
  <si>
    <t>390</t>
  </si>
  <si>
    <t>17080314_gab</t>
  </si>
  <si>
    <t>justin trudeau is a faggot who loves muzzies more than canadians i have heard he is a convert to goat humping</t>
  </si>
  <si>
    <t>391</t>
  </si>
  <si>
    <t>9886793_gab</t>
  </si>
  <si>
    <t>um why does she have her aclu red panties on her head is that a sharia law thing or just ugly mussie women trying to attract men for sex can sorta see why mussie men chasing goats &lt;happy&gt;</t>
  </si>
  <si>
    <t>392</t>
  </si>
  <si>
    <t>9537035_gab</t>
  </si>
  <si>
    <t>true but the most disgusting thing would be a muslim twerking a goat</t>
  </si>
  <si>
    <t>393</t>
  </si>
  <si>
    <t>15437415_gab</t>
  </si>
  <si>
    <t>the neo nazi faggots are all running back to twitter twatter i dunno i am attempting an educated guess the next question is what or who scared the shit out of them and made them run away</t>
  </si>
  <si>
    <t>Homosexual, Men</t>
  </si>
  <si>
    <t>394</t>
  </si>
  <si>
    <t>1178408717022191616_twitter</t>
  </si>
  <si>
    <t>&lt;user&gt; &lt;user&gt; you guys are the biggest faggots of the west</t>
  </si>
  <si>
    <t>395</t>
  </si>
  <si>
    <t>18686862_gab</t>
  </si>
  <si>
    <t>gab removes the biggest political story in american history but keeps this retarded bitcoin crap up priorities bbviously bitcoin is far more important to the management than the entire top leadership of the fbi doj etc trying to overthrow the government and end our democracy sure hope everyone invested loses everything</t>
  </si>
  <si>
    <t>396</t>
  </si>
  <si>
    <t>12693672_gab</t>
  </si>
  <si>
    <t>it outrageous twitter is always slapping my hand but i must ve hurt the feelings of ghetto trash lebron got suspended for telling the truth</t>
  </si>
  <si>
    <t>397</t>
  </si>
  <si>
    <t>11983258_gab</t>
  </si>
  <si>
    <t>despite the super gay cover i am excited to be starting this kettlebell program today</t>
  </si>
  <si>
    <t>398</t>
  </si>
  <si>
    <t>12123604_gab</t>
  </si>
  <si>
    <t>stupid nigger nazi oh noes don t read the vox day blawg nothing to see there pay attention to us as we alienate every normal person we come in contact with stupid nigger nazis need to have their noses rubbed in the turds they leave on the carpets</t>
  </si>
  <si>
    <t>Nazi, African</t>
  </si>
  <si>
    <t>Black people, Nazis</t>
  </si>
  <si>
    <t>399</t>
  </si>
  <si>
    <t>10639368_gab</t>
  </si>
  <si>
    <t>if women can do anything men can why have not they successfully suppressed an entire gender yet</t>
  </si>
  <si>
    <t>Woman (or Men)</t>
  </si>
  <si>
    <t>400</t>
  </si>
  <si>
    <t>16547777_gab</t>
  </si>
  <si>
    <t>the only way this is fair is if their dick gets blown off in battle just curious can women join just to get a boob job that would be the equivalent w out the sex change</t>
  </si>
  <si>
    <t>401</t>
  </si>
  <si>
    <t>1105969576704126976_twitter</t>
  </si>
  <si>
    <t>once i get a man it ’ over for my hoes lmao leave me alone i ’ m trynna spoil my husband</t>
  </si>
  <si>
    <t>402</t>
  </si>
  <si>
    <t>1083123764831928322_twitter</t>
  </si>
  <si>
    <t>niggerdom is a deadly disease please send thoughts and prayers</t>
  </si>
  <si>
    <t>403</t>
  </si>
  <si>
    <t>10587044_gab</t>
  </si>
  <si>
    <t>the word racism is not an objective term it has no fixed or agreed upon meaning racism is a verbal weapon used chiefly against white people it signifies hostility towards us</t>
  </si>
  <si>
    <t>404</t>
  </si>
  <si>
    <t>1265704619751034881_twitter</t>
  </si>
  <si>
    <t>white people are so uncultured that they kill black people as a hobby blacklivesmatter allivesmatter</t>
  </si>
  <si>
    <t>405</t>
  </si>
  <si>
    <t>1179040165999726592_twitter</t>
  </si>
  <si>
    <t>fuck police and if you support them fuck you too</t>
  </si>
  <si>
    <t>Police</t>
  </si>
  <si>
    <t>406</t>
  </si>
  <si>
    <t>1179094068338409473_twitter</t>
  </si>
  <si>
    <t>&lt;user&gt; &lt;user&gt; notice the towelhead music in the background</t>
  </si>
  <si>
    <t>407</t>
  </si>
  <si>
    <t>14562299_gab</t>
  </si>
  <si>
    <t>with the village people blaring from a &lt;number&gt; &lt;number&gt; track ghetto blaster slung over polly shoulder</t>
  </si>
  <si>
    <t>Economic Status</t>
  </si>
  <si>
    <t>Black/urban culture</t>
  </si>
  <si>
    <t>408</t>
  </si>
  <si>
    <t>27812026_gab</t>
  </si>
  <si>
    <t>come and get me nazi fairy maga presidenttrump &lt;user&gt; ‍ aka greatautist howdidyousayyouwouldstopmefaggot lol</t>
  </si>
  <si>
    <t>Pro-nazi/nazi, Homosexual</t>
  </si>
  <si>
    <t>409</t>
  </si>
  <si>
    <t>1179078745715597315_twitter</t>
  </si>
  <si>
    <t>the reality is you not finna learn which type of bitch you donating to until after you done spent on her</t>
  </si>
  <si>
    <t>410</t>
  </si>
  <si>
    <t>24916185_gab</t>
  </si>
  <si>
    <t>&lt;percent&gt; kike move</t>
  </si>
  <si>
    <t>Caucasian, Jewish</t>
  </si>
  <si>
    <t>411</t>
  </si>
  <si>
    <t>7791304_gab</t>
  </si>
  <si>
    <t>i had a wonderful wonderful nigger free weekend</t>
  </si>
  <si>
    <t>412</t>
  </si>
  <si>
    <t>1165426872563294208_twitter</t>
  </si>
  <si>
    <t>&lt;user&gt; yea both sides need to stop being retarded</t>
  </si>
  <si>
    <t>413</t>
  </si>
  <si>
    <t>1103165669225447425_twitter</t>
  </si>
  <si>
    <t>&lt;user&gt; &lt;user&gt; the estimated u.s. illegal alien population of &lt;number&gt; million the combined populations of &lt;number&gt; states</t>
  </si>
  <si>
    <t>414</t>
  </si>
  <si>
    <t>12337132_gab</t>
  </si>
  <si>
    <t>do you think america has a gun violence problem in britain they banned guns now they have an acid attack and knife violence problem these are just symptoms of the disease the disease is blacks and muslims you do not see asians doing these things</t>
  </si>
  <si>
    <t>African, Muslim</t>
  </si>
  <si>
    <t>African, Arab, Islam</t>
  </si>
  <si>
    <t>415</t>
  </si>
  <si>
    <t>1265933838456442881_twitter</t>
  </si>
  <si>
    <t>it ’ unfortunate that ppl feel the need to use violence to get their message across it shouldn ’ t get to that point</t>
  </si>
  <si>
    <t>416</t>
  </si>
  <si>
    <t>17433914_gab</t>
  </si>
  <si>
    <t>lol this dumb bitch is apologizing cuz she said nigga while doing some nigger rap song &lt;number&gt; years ago 😹 hey bitch how about just not doing rap since that scary word is in pretty much all nigger rap</t>
  </si>
  <si>
    <t>Woman, African</t>
  </si>
  <si>
    <t>417</t>
  </si>
  <si>
    <t>1179098325859147779_twitter</t>
  </si>
  <si>
    <t>i feel so shame these people probably think i am a retard or something</t>
  </si>
  <si>
    <t>418</t>
  </si>
  <si>
    <t>14197340_gab</t>
  </si>
  <si>
    <t>&lt;user&gt; your a muzzy that murders kurds if your not a parody account</t>
  </si>
  <si>
    <t>419</t>
  </si>
  <si>
    <t>12307022_gab</t>
  </si>
  <si>
    <t>fat inbred room temperature iq nigger bitches should not be able to vote in british elections not only should british shitlords be able to vote i as a british american with &lt;percent&gt; british ancestry &lt;number&gt; miles away should have more of a right to vote in british elections than niggers</t>
  </si>
  <si>
    <t>Black women, Black people</t>
  </si>
  <si>
    <t>Women, Minority, Refugee, African</t>
  </si>
  <si>
    <t>420</t>
  </si>
  <si>
    <t>14791699_gab</t>
  </si>
  <si>
    <t>a radical islamic terrorist murdered &lt;number&gt; people using a truck jim jones murdered &lt;number&gt; people using kool aid &lt;number&gt; &lt;number&gt; muslimes murdered &lt;number&gt; by crashing planes into twin towers and pentagon a message to the democrats shat heads leave our guns the hell alone</t>
  </si>
  <si>
    <t>421</t>
  </si>
  <si>
    <t>1179046303088537600_twitter</t>
  </si>
  <si>
    <t>&lt;user&gt; illegal immigrants r thrown out of every country now if all the muslims r not welcome in muslim countries and will end up going to non muslim countries wat u expect will happen mexicans r not muslims tell me why no muslim immigrant is welcome in ne muslim country</t>
  </si>
  <si>
    <t>422</t>
  </si>
  <si>
    <t>1179026125248499713_twitter</t>
  </si>
  <si>
    <t>&lt;user&gt; do not forget ones like homo homosexual queer lgbt and mlm all forbidden words now</t>
  </si>
  <si>
    <t>423</t>
  </si>
  <si>
    <t>1178771749451833345_twitter</t>
  </si>
  <si>
    <t>&lt;user&gt; looks like the kid and her family tried to win that ghetto lottery by crying racism &lt;percent&gt; of interracial crime is black on white anyway</t>
  </si>
  <si>
    <t>424</t>
  </si>
  <si>
    <t>17279436_gab</t>
  </si>
  <si>
    <t>would have been funnier if she had done that to a nigger or kebab but she would not because self preservation</t>
  </si>
  <si>
    <t>AfricanBlack, Arab, Muslim</t>
  </si>
  <si>
    <t>425</t>
  </si>
  <si>
    <t>16074519_gab</t>
  </si>
  <si>
    <t>he going to get fucked by the left i blame this on trumps lack of kike awareness his son in law for example</t>
  </si>
  <si>
    <t>426</t>
  </si>
  <si>
    <t>1252694081685389312_twitter</t>
  </si>
  <si>
    <t>when he calls you his retarded cum dumpster 🥰 💘</t>
  </si>
  <si>
    <t>Heterosexual, Women</t>
  </si>
  <si>
    <t>427</t>
  </si>
  <si>
    <t>3412612_gab</t>
  </si>
  <si>
    <t>rather than saddle white women with more children that they probably can not afford perhaps it would be better to spike the water supply in the middle east with a substance that makes men impotent better idea</t>
  </si>
  <si>
    <t>Middle Eastern/Muslim men</t>
  </si>
  <si>
    <t>Arab, Caucasian, Islam, Women</t>
  </si>
  <si>
    <t>428</t>
  </si>
  <si>
    <t>12290381_gab</t>
  </si>
  <si>
    <t>islam and antisexist parading together are like nazi and jewish together</t>
  </si>
  <si>
    <t>Muslim, Jewish, Pro-nazi/nazi</t>
  </si>
  <si>
    <t>429</t>
  </si>
  <si>
    <t>1232040359913455617_twitter</t>
  </si>
  <si>
    <t>askstacey how do we get more women like you on the beeb and in the biz we need your honesty and empathy</t>
  </si>
  <si>
    <t>430</t>
  </si>
  <si>
    <t>12203087_gab</t>
  </si>
  <si>
    <t>jews run the world most jews are atheists that an interesting fact dont you think</t>
  </si>
  <si>
    <t>431</t>
  </si>
  <si>
    <t>1159799517518209024_twitter</t>
  </si>
  <si>
    <t>&lt;user&gt; nah mf u def retarded</t>
  </si>
  <si>
    <t>432</t>
  </si>
  <si>
    <t>1184679550007029760_twitter</t>
  </si>
  <si>
    <t>egay o jungkook</t>
  </si>
  <si>
    <t>433</t>
  </si>
  <si>
    <t>1178564492893908992_twitter</t>
  </si>
  <si>
    <t>he about to be date raped which happens slot on this show so no biggy apparently oh brooke oh taylor oh brooke</t>
  </si>
  <si>
    <t>434</t>
  </si>
  <si>
    <t>1178340656357486593_twitter</t>
  </si>
  <si>
    <t>&lt;user&gt; you all always coming for the faggots huh</t>
  </si>
  <si>
    <t>435</t>
  </si>
  <si>
    <t>1162244656924467202_twitter</t>
  </si>
  <si>
    <t>at first they love you then they hate you because they can not be you or simply will never understand you</t>
  </si>
  <si>
    <t>436</t>
  </si>
  <si>
    <t>25982807_gab</t>
  </si>
  <si>
    <t>those faggots have always been better than us</t>
  </si>
  <si>
    <t>437</t>
  </si>
  <si>
    <t>24700123_gab</t>
  </si>
  <si>
    <t>good thing she can not you are still a cuck and she still a coal burner aka nigger lover</t>
  </si>
  <si>
    <t>Men, African, Women</t>
  </si>
  <si>
    <t>438</t>
  </si>
  <si>
    <t>14288949_gab</t>
  </si>
  <si>
    <t>another dumb nigger bitch</t>
  </si>
  <si>
    <t>439</t>
  </si>
  <si>
    <t>27491646_gab</t>
  </si>
  <si>
    <t>there has not been this much fuss over a minnesota coon since philando castille was shot</t>
  </si>
  <si>
    <t>440</t>
  </si>
  <si>
    <t>25179279_gab</t>
  </si>
  <si>
    <t>remember when you used to look for other nazi faggots in the toilet blocks lolzy</t>
  </si>
  <si>
    <t>441</t>
  </si>
  <si>
    <t>10924423_gab</t>
  </si>
  <si>
    <t>it seems that jeff flake cares more about low skilled immigrants than he does about low skilled american citizens who elected him as their senator republican voters in arizona should not repeat their mistake again</t>
  </si>
  <si>
    <t>442</t>
  </si>
  <si>
    <t>21155705_gab</t>
  </si>
  <si>
    <t>bro that yid can run hahahahaha</t>
  </si>
  <si>
    <t>443</t>
  </si>
  <si>
    <t>1178959002375507968_twitter</t>
  </si>
  <si>
    <t>&lt;user&gt; it is racist democrats that want our country overrun by illegal aliens they want to wash out and dilute any and all white influence in our country</t>
  </si>
  <si>
    <t>444</t>
  </si>
  <si>
    <t>1179076478144630786_twitter</t>
  </si>
  <si>
    <t>i always fucking hated when i saw book bonnie gifs with holland roden there technically nothing wrong with it because book bonnie a white redhead but i still hated it</t>
  </si>
  <si>
    <t>445</t>
  </si>
  <si>
    <t>11599253_gab</t>
  </si>
  <si>
    <t>so americans and britons are the most retarded people in the world</t>
  </si>
  <si>
    <t>Americans, British</t>
  </si>
  <si>
    <t>446</t>
  </si>
  <si>
    <t>1121219290089381889_twitter</t>
  </si>
  <si>
    <t>&lt;user&gt; if no one is above the law then why are there so many illegal aliens in our country</t>
  </si>
  <si>
    <t>447</t>
  </si>
  <si>
    <t>2911030_gab</t>
  </si>
  <si>
    <t>&lt;user&gt; what you need to understand is that when muzzies attack it will not be fighting in the street all that noise it will be a sharp rise in murder rates across the country our own leos will keep us from retaliating</t>
  </si>
  <si>
    <t>448</t>
  </si>
  <si>
    <t>16591657_gab</t>
  </si>
  <si>
    <t>the same in every white country</t>
  </si>
  <si>
    <t>449</t>
  </si>
  <si>
    <t>1178757488914681857_twitter</t>
  </si>
  <si>
    <t>&lt;user&gt; &lt;user&gt; &lt;user&gt; &lt;user&gt; &lt;user&gt; indeed i wonder what kind of misogyny does she think woc and homosexual women face thats different from white women are not we all discriminated because of being female or is it something else 🤔</t>
  </si>
  <si>
    <t>450</t>
  </si>
  <si>
    <t>1170735670240907270_twitter</t>
  </si>
  <si>
    <t>im sweet and don ’ t have the nature or guts to be rude bitchy prestige and sadly people take advantage of it</t>
  </si>
  <si>
    <t>451</t>
  </si>
  <si>
    <t>15230250_gab</t>
  </si>
  <si>
    <t>where where are all the whites and asians doing the car jackings home invasions muggings and random shootings this is why nobody trusts negros and nobody wants them around asians and mexicans hate blacks more than whites do</t>
  </si>
  <si>
    <t>African, Asian, Caucasian, Hispanic</t>
  </si>
  <si>
    <t>452</t>
  </si>
  <si>
    <t>4371004_gab</t>
  </si>
  <si>
    <t>what you would consider a long time ago someone in my family married a moslem american whose family was rich this person was constantly mentioned to me as having the happiness and success all young american women should strive for lots o shopping big house w swimming pool etc &lt;user&gt;</t>
  </si>
  <si>
    <t>453</t>
  </si>
  <si>
    <t>1179035134206459906_twitter</t>
  </si>
  <si>
    <t>it officially october where my niggers jason n freddy</t>
  </si>
  <si>
    <t>454</t>
  </si>
  <si>
    <t>1179048325254799361_twitter</t>
  </si>
  <si>
    <t>&lt;user&gt; &lt;user&gt; &lt;user&gt; &lt;user&gt; bhai they were &lt;percent&gt; when they got independence now they are &lt;percent&gt; systematically raped and converted we love indian muslims and kashmiris but not illegal immigrants sorry</t>
  </si>
  <si>
    <t>455</t>
  </si>
  <si>
    <t>12197721_gab</t>
  </si>
  <si>
    <t>notice how unattractive and thick most women are in politics it a man job it dirty it requires loose morals and it corrupt as hell a woman by definition is alien to such an environment so the worst of them go into it</t>
  </si>
  <si>
    <t>456</t>
  </si>
  <si>
    <t>1194401879578611714_twitter</t>
  </si>
  <si>
    <t>i don ’ t trust bitches who dance in victoria ’ secret lol</t>
  </si>
  <si>
    <t>457</t>
  </si>
  <si>
    <t>1178807964829810688_twitter</t>
  </si>
  <si>
    <t>my middle and pointer finger nails broke so now i really do look like a lesbian</t>
  </si>
  <si>
    <t>458</t>
  </si>
  <si>
    <t>1178670491479035904_twitter</t>
  </si>
  <si>
    <t>i just want louisiana twitter to know that you niggers are the sole reason disney do not wanna buy twitter it all right here on tl</t>
  </si>
  <si>
    <t>459</t>
  </si>
  <si>
    <t>20531142_gab</t>
  </si>
  <si>
    <t>i am starting to think it the jews 👀</t>
  </si>
  <si>
    <t>460</t>
  </si>
  <si>
    <t>15375821_gab</t>
  </si>
  <si>
    <t>just watched the video of the muslim attacking the dutch crippled kid how weak are these fucks they intentionally pick weaker targets and still this guy could barely down a cripple the dutch kid stayed strong and defended himself well dispite his disadvantages</t>
  </si>
  <si>
    <t>Disabled, Muslim</t>
  </si>
  <si>
    <t>Muslim, Disability</t>
  </si>
  <si>
    <t>461</t>
  </si>
  <si>
    <t>8932868_gab</t>
  </si>
  <si>
    <t>hooey most police are local tell you what you go into the ghetto where they are killing each other like flies and bring a fucking fairy wand report back if you live</t>
  </si>
  <si>
    <t>Black/urban, Gay people</t>
  </si>
  <si>
    <t>African, None</t>
  </si>
  <si>
    <t>462</t>
  </si>
  <si>
    <t>20705631_gab</t>
  </si>
  <si>
    <t>better to kill the kike first</t>
  </si>
  <si>
    <t>463</t>
  </si>
  <si>
    <t>1179031922489614336_twitter</t>
  </si>
  <si>
    <t>&lt;user&gt; &lt;user&gt; &lt;user&gt; i call anyone a nazi who is a racist white nationalist it not that abstract</t>
  </si>
  <si>
    <t>464</t>
  </si>
  <si>
    <t>1179081123659337728_twitter</t>
  </si>
  <si>
    <t>white students allegedly pin down black girl forcefully cut her nappy dreadlocks fake news media where is new headline mentally ill black girl lied about being attacked by white boys amari allen</t>
  </si>
  <si>
    <t>465</t>
  </si>
  <si>
    <t>1179074738708258816_twitter</t>
  </si>
  <si>
    <t>lightskin bitch with a dark side</t>
  </si>
  <si>
    <t>Women (light-skinned Black)</t>
  </si>
  <si>
    <t>466</t>
  </si>
  <si>
    <t>1178849207567798272_twitter</t>
  </si>
  <si>
    <t>so in new york if you say illegal alien you will be fined &lt;money&gt; &lt;number&gt; it you are attacked or raped by an illegal alien it a crime to call ice hm kinda fucked up to be an american in new york</t>
  </si>
  <si>
    <t>467</t>
  </si>
  <si>
    <t>1098065960253169664_twitter</t>
  </si>
  <si>
    <t>our group chat name is “ down bitches ” when we all know theirs only &lt;number&gt; down bitches out of the of us</t>
  </si>
  <si>
    <t>468</t>
  </si>
  <si>
    <t>23511924_gab</t>
  </si>
  <si>
    <t>if trump bombs the living shit out of syria surely a million of more refugees are going to flee to europe and elsewhere jews have lots of practice pulling on goyim heartstrings promoting this except of course for israel</t>
  </si>
  <si>
    <t>Jewish, Refugee, Immigrant</t>
  </si>
  <si>
    <t>Jewish, Refugee</t>
  </si>
  <si>
    <t>469</t>
  </si>
  <si>
    <t>1178906101707939840_twitter</t>
  </si>
  <si>
    <t>i redownloading tinder which is a mistake in itself and litterally no one on there is cute i hate this redneck state</t>
  </si>
  <si>
    <t>470</t>
  </si>
  <si>
    <t>27669307_gab</t>
  </si>
  <si>
    <t>my written bitten words is like ice cuz shit went through my body like twice tested and vested by arms and fingers vice i do not let my tongue run like a chink on hard rice</t>
  </si>
  <si>
    <t>471</t>
  </si>
  <si>
    <t>10914608_gab</t>
  </si>
  <si>
    <t>this category is so gay it belongs as a subreddit in the fagposts category</t>
  </si>
  <si>
    <t>472</t>
  </si>
  <si>
    <t>1090776805148102656_twitter</t>
  </si>
  <si>
    <t>denny hey bitch</t>
  </si>
  <si>
    <t>473</t>
  </si>
  <si>
    <t>1179086450115186689_twitter</t>
  </si>
  <si>
    <t>&lt;user&gt; &lt;user&gt; balls &lt;number&gt; mooslems &lt;number&gt; under rape and urinated on hanycapped girl legal and political whores cover it up there is no islamophobia mooslems do not observe true islam they serve moohamed bastardized version a murderous ideology that preys on the weakest in their society</t>
  </si>
  <si>
    <t>474</t>
  </si>
  <si>
    <t>12423952_gab</t>
  </si>
  <si>
    <t>liberals call potus trump supporters white supremacists nazis and coons but whine because he calls fat boy in nk rocket man ❄ hypocrites 😂</t>
  </si>
  <si>
    <t>475</t>
  </si>
  <si>
    <t>15380388_gab</t>
  </si>
  <si>
    <t>more than &lt;number&gt; percent of children in the united states will be obese by age &lt;number&gt; if current trends in weight gain and poor eating habits continue it takes a retarded nigger to write something this fucked up</t>
  </si>
  <si>
    <t>Disabled, African</t>
  </si>
  <si>
    <t>Disability, African</t>
  </si>
  <si>
    <t>476</t>
  </si>
  <si>
    <t>1179063615468576768_twitter</t>
  </si>
  <si>
    <t>&lt;user&gt; &lt;user&gt; this song by amy winehouse i am telling you go to karaoke anywhere and the white bitches will all unanimously sigh when it comes on because they mad they wanted to sing it 😂</t>
  </si>
  <si>
    <t>477</t>
  </si>
  <si>
    <t>1178880011035664384_twitter</t>
  </si>
  <si>
    <t>you all taking harassment to another level out here</t>
  </si>
  <si>
    <t>478</t>
  </si>
  <si>
    <t>12812177_gab</t>
  </si>
  <si>
    <t>sick commie but who elected her they are fucking genetic fails too much nigger genes wipe out island seed with asians collect bumper tax revenues</t>
  </si>
  <si>
    <t>African, Asian</t>
  </si>
  <si>
    <t>African, Asian, Women</t>
  </si>
  <si>
    <t>479</t>
  </si>
  <si>
    <t>1178403986501722113_twitter</t>
  </si>
  <si>
    <t>&lt;number&gt; year old group of caucasians are yelling no laws when you are drinking claws bro white claws are officially canceled</t>
  </si>
  <si>
    <t>480</t>
  </si>
  <si>
    <t>1179102552345976832_twitter</t>
  </si>
  <si>
    <t>&lt;user&gt; big head and being a faggot in the front row</t>
  </si>
  <si>
    <t>481</t>
  </si>
  <si>
    <t>15756443_gab</t>
  </si>
  <si>
    <t>the muzzies already made us realize that 😜</t>
  </si>
  <si>
    <t>482</t>
  </si>
  <si>
    <t>17112256_gab</t>
  </si>
  <si>
    <t>rico beaners are busy stealing hording the cash from charities and welfare daddy usa instead of fixing the infrastructure and getting shit done the problem is corruption by elected officials and puerto ricans always has been and always will be</t>
  </si>
  <si>
    <t>Latino</t>
  </si>
  <si>
    <t>MexicanHispanicLatino</t>
  </si>
  <si>
    <t>483</t>
  </si>
  <si>
    <t>23659865_gab</t>
  </si>
  <si>
    <t>i will apologize for calling you a muslim if you are not one but the talmud does not represent traditional judaism anyway it represents the mongrelization that occurred in babylon and yes the arabs were infected by the same</t>
  </si>
  <si>
    <t>Muslim, Arab people</t>
  </si>
  <si>
    <t>484</t>
  </si>
  <si>
    <t>1278634442643451904_twitter</t>
  </si>
  <si>
    <t>&lt;user&gt; &lt;user&gt; yea because they dont know iraqi arabs as much as i do</t>
  </si>
  <si>
    <t>485</t>
  </si>
  <si>
    <t>19162604_gab</t>
  </si>
  <si>
    <t>watching the warsaw ghetto burn</t>
  </si>
  <si>
    <t>486</t>
  </si>
  <si>
    <t>19799018_gab</t>
  </si>
  <si>
    <t>eat me it a ritual created by the jews to bring their sons closer to god the rabbi literally sucks the bleeding dick fuck off with your pagan rituals</t>
  </si>
  <si>
    <t>487</t>
  </si>
  <si>
    <t>1077853_gab</t>
  </si>
  <si>
    <t>tbtc take back the country toxic masculinity patriarchy harm men noxious femaleness and public slut posturing empower women neither feminism nor now could have pulled this off this is the doing of taxpayer supported state university system maga</t>
  </si>
  <si>
    <t>488</t>
  </si>
  <si>
    <t>1167241810827067393_twitter</t>
  </si>
  <si>
    <t>&lt;user&gt; reply if you ’ re gay</t>
  </si>
  <si>
    <t>489</t>
  </si>
  <si>
    <t>1179023377660547072_twitter</t>
  </si>
  <si>
    <t>&lt;user&gt; well i can certainly taser a bitch</t>
  </si>
  <si>
    <t>490</t>
  </si>
  <si>
    <t>24161327_gab</t>
  </si>
  <si>
    <t>this is what you get when you allow islam to run a country</t>
  </si>
  <si>
    <t>491</t>
  </si>
  <si>
    <t>12197031_gab</t>
  </si>
  <si>
    <t>we do not want legal immigrants unless they are white europeans</t>
  </si>
  <si>
    <t>Non-white immigrants</t>
  </si>
  <si>
    <t>African, Arab, Asian, Hispanic, Men, Refugee</t>
  </si>
  <si>
    <t>African, Arab, Asian, Hispanic, Refugee</t>
  </si>
  <si>
    <t>492</t>
  </si>
  <si>
    <t>1078150006979350528_twitter</t>
  </si>
  <si>
    <t>i ’ ll turn a dyke into a bike</t>
  </si>
  <si>
    <t>493</t>
  </si>
  <si>
    <t>1238629968000634880_twitter</t>
  </si>
  <si>
    <t>&lt;user&gt; thank you for reminding me that you are always there and giving your full support to anything love you hoe 💓</t>
  </si>
  <si>
    <t>494</t>
  </si>
  <si>
    <t>1098630417094197248_twitter</t>
  </si>
  <si>
    <t>&lt;user&gt; good job scamming you fucking faggot</t>
  </si>
  <si>
    <t>495</t>
  </si>
  <si>
    <t>17065878_gab</t>
  </si>
  <si>
    <t>by heard you mean you made it up in your tiny kike brain take my advice and leave the trolling to the pros shlomo</t>
  </si>
  <si>
    <t>496</t>
  </si>
  <si>
    <t>19956346_gab</t>
  </si>
  <si>
    <t>note no nigger was harmed during the making of this film</t>
  </si>
  <si>
    <t>497</t>
  </si>
  <si>
    <t>20063210_gab</t>
  </si>
  <si>
    <t>well he needs to stop pimping them out then or these hoes have become too uppity flashmaster trump needs to discipline them like any good ghetto pimp would</t>
  </si>
  <si>
    <t>Women, Black/urban culture</t>
  </si>
  <si>
    <t>498</t>
  </si>
  <si>
    <t>1163018440312967168_twitter</t>
  </si>
  <si>
    <t>these hoes are insane</t>
  </si>
  <si>
    <t>499</t>
  </si>
  <si>
    <t>9361416_gab</t>
  </si>
  <si>
    <t>whenever im at the store an i see a white woman with a mullatto freak wirey haired caramel color mutant niglet baby i always say o thats a cute baby and smile and they always say thanks then i say are u babysitting and they look confused and then they get sad 😎 😎 😎</t>
  </si>
  <si>
    <t>Biracial, African</t>
  </si>
  <si>
    <t>Mixed-race/Black children</t>
  </si>
  <si>
    <t>Black people, Interracial couples</t>
  </si>
  <si>
    <t>Other, African</t>
  </si>
  <si>
    <t>Minority</t>
  </si>
  <si>
    <t>500</t>
  </si>
  <si>
    <t>15990083_gab</t>
  </si>
  <si>
    <t>yeah true the explanation i heard was he was just supposed to be a shabbos goy for the jews but out smarted them and took power they explained stalin is the reason the ussr adopted more socially conservative policies and started mild anti semitism</t>
  </si>
  <si>
    <t>Old Target Group Labels:</t>
  </si>
  <si>
    <t>New Target Group Labels:</t>
  </si>
  <si>
    <t>COUNT:</t>
  </si>
  <si>
    <t>Asians</t>
  </si>
  <si>
    <t>Brown</t>
  </si>
  <si>
    <t>Caucasians</t>
  </si>
  <si>
    <t>White</t>
  </si>
  <si>
    <t>Mexican</t>
  </si>
  <si>
    <t>Hispanics</t>
  </si>
  <si>
    <t>Native Americans</t>
  </si>
  <si>
    <t>Australians</t>
  </si>
  <si>
    <t>Australian</t>
  </si>
  <si>
    <t>Indians</t>
  </si>
  <si>
    <t>Somali</t>
  </si>
  <si>
    <t>Biracial</t>
  </si>
  <si>
    <t>Liberals</t>
  </si>
  <si>
    <t>Liberal</t>
  </si>
  <si>
    <t>Communists</t>
  </si>
  <si>
    <t>Communist</t>
  </si>
  <si>
    <t>Democrats</t>
  </si>
  <si>
    <t>Democrat</t>
  </si>
  <si>
    <t>Rich</t>
  </si>
  <si>
    <t>Working Class</t>
  </si>
  <si>
    <t>Immigrants</t>
  </si>
  <si>
    <t>Protestors</t>
  </si>
  <si>
    <t>Protestor</t>
  </si>
  <si>
    <t>Journalists</t>
  </si>
  <si>
    <t>Journalist</t>
  </si>
  <si>
    <t>Uneducated</t>
  </si>
  <si>
    <t>Education</t>
  </si>
  <si>
    <t>Annotation Convergence Analysis | Decoding Biases in AI</t>
  </si>
  <si>
    <t>Comparing Grok, Claude, and five human annotators (H1, H2, SA1, SA2, SA3) | N = 500 posts</t>
  </si>
  <si>
    <t>1 | Classification Distribution by Annotator</t>
  </si>
  <si>
    <t>Annotator</t>
  </si>
  <si>
    <t>Total Valid</t>
  </si>
  <si>
    <t>62 (12.4%)</t>
  </si>
  <si>
    <t>201 (40.2%)</t>
  </si>
  <si>
    <t>237 (47.4%)</t>
  </si>
  <si>
    <t>Claude</t>
  </si>
  <si>
    <t>213 (42.6%)</t>
  </si>
  <si>
    <t>114 (22.8%)</t>
  </si>
  <si>
    <t>173 (34.6%)</t>
  </si>
  <si>
    <t>CLAUDE</t>
  </si>
  <si>
    <t>TOTAL</t>
  </si>
  <si>
    <t>H1</t>
  </si>
  <si>
    <t>201 (41.3%)</t>
  </si>
  <si>
    <t>250 (51.3%)</t>
  </si>
  <si>
    <t>36 (7.4%)</t>
  </si>
  <si>
    <t>NORMAL</t>
  </si>
  <si>
    <t>OFFENSIVE</t>
  </si>
  <si>
    <t>HATE SPEECH</t>
  </si>
  <si>
    <t>H2</t>
  </si>
  <si>
    <t>196 (39.8%)</t>
  </si>
  <si>
    <t>253 (51.4%)</t>
  </si>
  <si>
    <t>43 (8.7%)</t>
  </si>
  <si>
    <t xml:space="preserve">GROK
</t>
  </si>
  <si>
    <t>SA1</t>
  </si>
  <si>
    <t>188 (37.6%)</t>
  </si>
  <si>
    <t>176 (35.2%)</t>
  </si>
  <si>
    <t>136 (27.2%)</t>
  </si>
  <si>
    <t>SA2</t>
  </si>
  <si>
    <t>193 (38.6%)</t>
  </si>
  <si>
    <t>161 (32.2%)</t>
  </si>
  <si>
    <t>146 (29.2%)</t>
  </si>
  <si>
    <t>SA3</t>
  </si>
  <si>
    <t>179 (35.8%)</t>
  </si>
  <si>
    <t>166 (33.2%)</t>
  </si>
  <si>
    <t>155 (31.0%)</t>
  </si>
  <si>
    <t>Cross-tabulation: Grok vs Claude (absolute counts)</t>
  </si>
  <si>
    <t>Metric</t>
  </si>
  <si>
    <t>Count</t>
  </si>
  <si>
    <t>% of valid n</t>
  </si>
  <si>
    <t>Grok \ Claude →</t>
  </si>
  <si>
    <t>Row Total</t>
  </si>
  <si>
    <t>Overall Agreement (exact match)</t>
  </si>
  <si>
    <t>62.6%</t>
  </si>
  <si>
    <t>Hate Speech agreement</t>
  </si>
  <si>
    <t>66.2%</t>
  </si>
  <si>
    <t>Offensive agreement</t>
  </si>
  <si>
    <t>47.3%</t>
  </si>
  <si>
    <t>Normal agreement</t>
  </si>
  <si>
    <t>98.4%</t>
  </si>
  <si>
    <t>Column Total</t>
  </si>
  <si>
    <t>Overall Disagreement</t>
  </si>
  <si>
    <t>37.4%</t>
  </si>
  <si>
    <t>Cross-tabulation: Grok vs Group Consensus (H1+H2 only)</t>
  </si>
  <si>
    <t>Grok \ Human →</t>
  </si>
  <si>
    <t>38.4%</t>
  </si>
  <si>
    <t>10.5%</t>
  </si>
  <si>
    <t>48.3%</t>
  </si>
  <si>
    <t>94.1%</t>
  </si>
  <si>
    <t>61.6%</t>
  </si>
  <si>
    <t>Cross-tabulation: Claude vs Group Consensus (H1+H2 only)</t>
  </si>
  <si>
    <t>Claude \ Human →</t>
  </si>
  <si>
    <t>53.9%</t>
  </si>
  <si>
    <t>11.7%</t>
  </si>
  <si>
    <t>71.4%</t>
  </si>
  <si>
    <t>78.3%</t>
  </si>
  <si>
    <t>46.1%</t>
  </si>
  <si>
    <t>HUMAN CONSENUS</t>
  </si>
  <si>
    <t xml:space="preserve">CLAUDE
</t>
  </si>
  <si>
    <t>PAIRWISE INTER-ANNOTATOR AGREEMENT (Group Members)</t>
  </si>
  <si>
    <t>Pair</t>
  </si>
  <si>
    <t>N (valid)</t>
  </si>
  <si>
    <t>Agreement %</t>
  </si>
  <si>
    <t>Cohen's κ</t>
  </si>
  <si>
    <t>N &amp; M</t>
  </si>
  <si>
    <t>83.7%</t>
  </si>
  <si>
    <t>0.704</t>
  </si>
  <si>
    <t>N &amp; C</t>
  </si>
  <si>
    <t>67.4%</t>
  </si>
  <si>
    <t>0.478</t>
  </si>
  <si>
    <t>N &amp; T</t>
  </si>
  <si>
    <t>77.1%</t>
  </si>
  <si>
    <t>0.590</t>
  </si>
  <si>
    <t>N &amp; A</t>
  </si>
  <si>
    <t>0.425</t>
  </si>
  <si>
    <t>M &amp; C</t>
  </si>
  <si>
    <t>72.9%</t>
  </si>
  <si>
    <t>0.514</t>
  </si>
  <si>
    <t>M &amp; T</t>
  </si>
  <si>
    <t>74.0%</t>
  </si>
  <si>
    <t>0.501</t>
  </si>
  <si>
    <t>M &amp; A</t>
  </si>
  <si>
    <t>73.5%</t>
  </si>
  <si>
    <t>0.543</t>
  </si>
  <si>
    <t>C &amp; T</t>
  </si>
  <si>
    <t>62.5%</t>
  </si>
  <si>
    <t>0.344</t>
  </si>
  <si>
    <t>C &amp; A</t>
  </si>
  <si>
    <t>68.8%</t>
  </si>
  <si>
    <t>0.438</t>
  </si>
  <si>
    <t>T &amp; A</t>
  </si>
  <si>
    <t>79.2%</t>
  </si>
  <si>
    <t>0.598</t>
  </si>
  <si>
    <t>Mean</t>
  </si>
  <si>
    <t>72.6%</t>
  </si>
  <si>
    <t>0.513</t>
  </si>
  <si>
    <t>5×5 PAIRWISE AGREEMENT MATRIX (% exact match)</t>
  </si>
  <si>
    <t>N</t>
  </si>
  <si>
    <t>M</t>
  </si>
  <si>
    <t>C</t>
  </si>
  <si>
    <t>T</t>
  </si>
  <si>
    <t>A</t>
  </si>
  <si>
    <t>5×5 PAIRWISE COHEN'S KAPPA MATRIX</t>
  </si>
  <si>
    <t>8 | Summary Statistics &amp; Aggregate Per-Class Agreement</t>
  </si>
  <si>
    <t>Value</t>
  </si>
  <si>
    <t>Notes</t>
  </si>
  <si>
    <t>Mean pairwise agreement</t>
  </si>
  <si>
    <t>across 10 pairs</t>
  </si>
  <si>
    <t>Agreement range</t>
  </si>
  <si>
    <t>62.5% – 83.7%</t>
  </si>
  <si>
    <t>C&amp;T low; N&amp;M high</t>
  </si>
  <si>
    <t>Mean Cohen's κ</t>
  </si>
  <si>
    <t xml:space="preserve">Moderate </t>
  </si>
  <si>
    <t>Cohen's κ range</t>
  </si>
  <si>
    <t>0.344 – 0.704</t>
  </si>
  <si>
    <t>Fair to substantial</t>
  </si>
  <si>
    <t>Pooled Cohen's κ</t>
  </si>
  <si>
    <t>0.518</t>
  </si>
  <si>
    <t>all 10 pairs combined</t>
  </si>
  <si>
    <t>AGGREGATE PER CLASS AGREEMENT (pooled across all 10 pairs)</t>
  </si>
  <si>
    <t>Label</t>
  </si>
  <si>
    <t>Agreements</t>
  </si>
  <si>
    <t>Total</t>
  </si>
  <si>
    <t>75.1%</t>
  </si>
  <si>
    <t>74.3%</t>
  </si>
  <si>
    <t>50.6%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</si>
</sst>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6">
    <font>
      <sz val="10.0"/>
      <color rgb="FF000000"/>
      <name val="Arial"/>
      <scheme val="minor"/>
    </font>
    <font>
      <b/>
      <color rgb="FFFFFFFF"/>
      <name val="Arial"/>
      <scheme val="minor"/>
    </font>
    <font>
      <b/>
      <color rgb="FFFFFFFF"/>
      <name val="Arial"/>
    </font>
    <font>
      <color theme="1"/>
      <name val="Arial"/>
      <scheme val="minor"/>
    </font>
    <font>
      <sz val="5.0"/>
      <color theme="1"/>
      <name val="Arial"/>
      <scheme val="minor"/>
    </font>
    <font>
      <color rgb="FF000000"/>
      <name val="Helvetica Neue"/>
    </font>
    <font>
      <color rgb="FF000000"/>
      <name val="Arial"/>
    </font>
    <font>
      <color theme="1"/>
      <name val="Arial"/>
    </font>
    <font>
      <i/>
      <color rgb="FF000000"/>
      <name val="Arial"/>
    </font>
    <font>
      <color rgb="FF000000"/>
      <name val="Arial"/>
      <scheme val="minor"/>
    </font>
    <font>
      <color rgb="FFFF0000"/>
      <name val="Arial"/>
      <scheme val="minor"/>
    </font>
    <font>
      <b/>
      <color theme="1"/>
      <name val="Arial"/>
      <scheme val="minor"/>
    </font>
    <font>
      <b/>
      <sz val="14.0"/>
      <color rgb="FFFFFFFF"/>
      <name val="Arial"/>
    </font>
    <font>
      <i/>
      <color rgb="FF404040"/>
      <name val="Arial"/>
    </font>
    <font>
      <b/>
      <sz val="11.0"/>
      <color rgb="FFFFFFFF"/>
      <name val="Arial"/>
    </font>
    <font>
      <b/>
      <color theme="0"/>
      <name val="Arial"/>
    </font>
    <font>
      <b/>
      <color rgb="FF000000"/>
      <name val="Arial"/>
    </font>
    <font>
      <b/>
      <i/>
      <color rgb="FFFFFFFF"/>
      <name val="Arial"/>
    </font>
    <font>
      <b/>
      <color theme="1"/>
      <name val="Arial"/>
    </font>
    <font>
      <color rgb="FF1F3864"/>
      <name val="Arial"/>
    </font>
    <font>
      <b/>
      <color rgb="FF1F3864"/>
      <name val="Arial"/>
    </font>
    <font/>
    <font>
      <b/>
      <sz val="10.0"/>
      <color rgb="FFFFFFFF"/>
      <name val="Arial"/>
    </font>
    <font>
      <b/>
      <sz val="12.0"/>
      <color rgb="FFFFFFFF"/>
      <name val="Arial"/>
    </font>
    <font>
      <color rgb="FF182951"/>
      <name val="Arial"/>
    </font>
    <font>
      <sz val="10.0"/>
      <color theme="1"/>
      <name val="Arial"/>
      <scheme val="minor"/>
    </font>
  </fonts>
  <fills count="22">
    <fill>
      <patternFill patternType="none"/>
    </fill>
    <fill>
      <patternFill patternType="lightGray"/>
    </fill>
    <fill>
      <patternFill patternType="solid">
        <fgColor rgb="FF122293"/>
        <bgColor rgb="FF122293"/>
      </patternFill>
    </fill>
    <fill>
      <patternFill patternType="solid">
        <fgColor rgb="FF16748D"/>
        <bgColor rgb="FF16748D"/>
      </patternFill>
    </fill>
    <fill>
      <patternFill patternType="solid">
        <fgColor rgb="FFFF0000"/>
        <bgColor rgb="FFFF0000"/>
      </patternFill>
    </fill>
    <fill>
      <patternFill patternType="solid">
        <fgColor rgb="FFF4CCCC"/>
        <bgColor rgb="FFF4CCCC"/>
      </patternFill>
    </fill>
    <fill>
      <patternFill patternType="solid">
        <fgColor rgb="FF1F3864"/>
        <bgColor rgb="FF1F3864"/>
      </patternFill>
    </fill>
    <fill>
      <patternFill patternType="solid">
        <fgColor rgb="FFF2F2F2"/>
        <bgColor rgb="FFF2F2F2"/>
      </patternFill>
    </fill>
    <fill>
      <patternFill patternType="solid">
        <fgColor rgb="FF2E75B6"/>
        <bgColor rgb="FF2E75B6"/>
      </patternFill>
    </fill>
    <fill>
      <patternFill patternType="solid">
        <fgColor rgb="FFFFFFFF"/>
        <bgColor rgb="FFFFFFFF"/>
      </patternFill>
    </fill>
    <fill>
      <patternFill patternType="solid">
        <fgColor rgb="FFFBDAD7"/>
        <bgColor rgb="FFFBDAD7"/>
      </patternFill>
    </fill>
    <fill>
      <patternFill patternType="solid">
        <fgColor rgb="FFD1F1DA"/>
        <bgColor rgb="FFD1F1DA"/>
      </patternFill>
    </fill>
    <fill>
      <patternFill patternType="solid">
        <fgColor rgb="FFEFEFEF"/>
        <bgColor rgb="FFEFEFEF"/>
      </patternFill>
    </fill>
    <fill>
      <patternFill patternType="solid">
        <fgColor rgb="FF2F4FAF"/>
        <bgColor rgb="FF2F4FAF"/>
      </patternFill>
    </fill>
    <fill>
      <patternFill patternType="solid">
        <fgColor rgb="FFC6EFCE"/>
        <bgColor rgb="FFC6EFCE"/>
      </patternFill>
    </fill>
    <fill>
      <patternFill patternType="solid">
        <fgColor rgb="FFBDD7EE"/>
        <bgColor rgb="FFBDD7EE"/>
      </patternFill>
    </fill>
    <fill>
      <patternFill patternType="solid">
        <fgColor rgb="FFFFDDC1"/>
        <bgColor rgb="FFFFDDC1"/>
      </patternFill>
    </fill>
    <fill>
      <patternFill patternType="solid">
        <fgColor rgb="FFB0CDEA"/>
        <bgColor rgb="FFB0CDEA"/>
      </patternFill>
    </fill>
    <fill>
      <patternFill patternType="solid">
        <fgColor rgb="FFBBEDC3"/>
        <bgColor rgb="FFBBEDC3"/>
      </patternFill>
    </fill>
    <fill>
      <patternFill patternType="solid">
        <fgColor rgb="FFFED5B4"/>
        <bgColor rgb="FFFED5B4"/>
      </patternFill>
    </fill>
    <fill>
      <patternFill patternType="solid">
        <fgColor rgb="FF182951"/>
        <bgColor rgb="FF182951"/>
      </patternFill>
    </fill>
    <fill>
      <patternFill patternType="solid">
        <fgColor rgb="FF2560A7"/>
        <bgColor rgb="FF2560A7"/>
      </patternFill>
    </fill>
  </fills>
  <borders count="1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rder>
    <border>
      <right style="thin">
        <color rgb="FFBFBFBF"/>
      </right>
      <top style="thin">
        <color rgb="FFBFBFBF"/>
      </top>
    </border>
    <border>
      <left style="thin">
        <color rgb="FFBFBFBF"/>
      </left>
      <right style="thin">
        <color rgb="FFBFBFBF"/>
      </right>
      <top style="thin">
        <color rgb="FFBFBFB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9A9A9A"/>
      </left>
      <top style="thin">
        <color rgb="FF000000"/>
      </top>
      <bottom style="thin">
        <color rgb="FF000000"/>
      </bottom>
    </border>
    <border>
      <top style="thin">
        <color rgb="FF000000"/>
      </top>
      <bottom style="thin">
        <color rgb="FF000000"/>
      </bottom>
    </border>
    <border>
      <right style="thin">
        <color rgb="FF9A9A9A"/>
      </right>
      <top style="thin">
        <color rgb="FF000000"/>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2" numFmtId="0" xfId="0" applyAlignment="1" applyFont="1">
      <alignment readingOrder="0" vertical="center"/>
    </xf>
    <xf borderId="0" fillId="2" fontId="1" numFmtId="0" xfId="0" applyAlignment="1" applyFont="1">
      <alignment horizontal="left" readingOrder="0" shrinkToFit="0" vertical="center" wrapText="1"/>
    </xf>
    <xf borderId="0" fillId="3" fontId="1" numFmtId="0" xfId="0" applyAlignment="1" applyFill="1" applyFon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4" numFmtId="49"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0" fillId="0" fontId="5" numFmtId="0" xfId="0" applyAlignment="1" applyFont="1">
      <alignment readingOrder="0" vertical="center"/>
    </xf>
    <xf borderId="0" fillId="0" fontId="6"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7" numFmtId="0" xfId="0" applyAlignment="1" applyFont="1">
      <alignment readingOrder="0" vertical="center"/>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7" numFmtId="9" xfId="0" applyAlignment="1" applyFont="1" applyNumberFormat="1">
      <alignment horizontal="center" readingOrder="0" shrinkToFit="0" vertical="center" wrapText="1"/>
    </xf>
    <xf borderId="0" fillId="0" fontId="7" numFmtId="164" xfId="0" applyAlignment="1" applyFont="1" applyNumberFormat="1">
      <alignment horizontal="center" readingOrder="0" shrinkToFit="0" vertical="center" wrapText="1"/>
    </xf>
    <xf borderId="0" fillId="0" fontId="8" numFmtId="0" xfId="0" applyAlignment="1" applyFont="1">
      <alignment readingOrder="0" shrinkToFit="0" vertical="center" wrapText="1"/>
    </xf>
    <xf borderId="0" fillId="0" fontId="9" numFmtId="0" xfId="0" applyAlignment="1" applyFont="1">
      <alignment horizontal="center" readingOrder="0" vertical="center"/>
    </xf>
    <xf borderId="0" fillId="4" fontId="3" numFmtId="0" xfId="0" applyAlignment="1" applyFill="1" applyFont="1">
      <alignment horizontal="center" readingOrder="0" shrinkToFit="0" vertical="center" wrapText="1"/>
    </xf>
    <xf borderId="0" fillId="5" fontId="3" numFmtId="0" xfId="0" applyAlignment="1" applyFill="1" applyFont="1">
      <alignment shrinkToFit="0" vertical="center" wrapText="1"/>
    </xf>
    <xf borderId="0" fillId="5" fontId="3" numFmtId="0" xfId="0" applyAlignment="1" applyFont="1">
      <alignment horizontal="center" readingOrder="0" shrinkToFit="0" vertical="center" wrapText="1"/>
    </xf>
    <xf borderId="0" fillId="0" fontId="10" numFmtId="0" xfId="0" applyAlignment="1" applyFont="1">
      <alignment readingOrder="0" vertical="center"/>
    </xf>
    <xf borderId="0" fillId="0" fontId="3" numFmtId="0" xfId="0" applyAlignment="1" applyFont="1">
      <alignment vertical="center"/>
    </xf>
    <xf borderId="0" fillId="0" fontId="10" numFmtId="0" xfId="0" applyAlignment="1" applyFont="1">
      <alignment readingOrder="0"/>
    </xf>
    <xf borderId="0" fillId="0" fontId="10"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4" fontId="3" numFmtId="0" xfId="0" applyAlignment="1" applyFont="1">
      <alignment shrinkToFit="0" vertical="center" wrapText="1"/>
    </xf>
    <xf borderId="0" fillId="0" fontId="9" numFmtId="0" xfId="0" applyAlignment="1" applyFont="1">
      <alignment readingOrder="0" shrinkToFit="0" vertical="center" wrapText="1"/>
    </xf>
    <xf borderId="0" fillId="4"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readingOrder="0"/>
    </xf>
    <xf borderId="0" fillId="4" fontId="3" numFmtId="0" xfId="0" applyAlignment="1" applyFont="1">
      <alignment readingOrder="0" shrinkToFit="0" vertical="center" wrapText="1"/>
    </xf>
    <xf borderId="0" fillId="0" fontId="11" numFmtId="0" xfId="0" applyAlignment="1" applyFont="1">
      <alignment readingOrder="0"/>
    </xf>
    <xf borderId="0" fillId="0" fontId="11" numFmtId="0" xfId="0" applyAlignment="1" applyFont="1">
      <alignment readingOrder="0" vertical="center"/>
    </xf>
    <xf borderId="0" fillId="0" fontId="11" numFmtId="0" xfId="0" applyAlignment="1" applyFont="1">
      <alignment horizontal="center" readingOrder="0" vertical="center"/>
    </xf>
    <xf borderId="0" fillId="0" fontId="3" numFmtId="0" xfId="0" applyAlignment="1" applyFont="1">
      <alignment readingOrder="0" vertical="center"/>
    </xf>
    <xf borderId="0" fillId="0" fontId="3" numFmtId="0" xfId="0" applyAlignment="1" applyFont="1">
      <alignment horizontal="center" vertical="center"/>
    </xf>
    <xf borderId="0" fillId="0" fontId="3" numFmtId="0" xfId="0" applyAlignment="1" applyFont="1">
      <alignment vertical="center"/>
    </xf>
    <xf borderId="0" fillId="6" fontId="12" numFmtId="0" xfId="0" applyAlignment="1" applyFill="1" applyFont="1">
      <alignment horizontal="center" readingOrder="0" shrinkToFit="0" wrapText="1"/>
    </xf>
    <xf borderId="0" fillId="7" fontId="13" numFmtId="0" xfId="0" applyAlignment="1" applyFill="1" applyFont="1">
      <alignment horizontal="center" readingOrder="0" shrinkToFit="0" wrapText="1"/>
    </xf>
    <xf borderId="0" fillId="0" fontId="6" numFmtId="0" xfId="0" applyAlignment="1" applyFont="1">
      <alignment shrinkToFit="0" vertical="bottom" wrapText="1"/>
    </xf>
    <xf borderId="0" fillId="0" fontId="6" numFmtId="0" xfId="0" applyAlignment="1" applyFont="1">
      <alignment shrinkToFit="0" vertical="bottom" wrapText="0"/>
    </xf>
    <xf borderId="0" fillId="6" fontId="14" numFmtId="0" xfId="0" applyAlignment="1" applyFont="1">
      <alignment horizontal="left" readingOrder="0" shrinkToFit="0" wrapText="1"/>
    </xf>
    <xf borderId="1" fillId="8" fontId="2" numFmtId="0" xfId="0" applyAlignment="1" applyBorder="1" applyFill="1" applyFont="1">
      <alignment horizontal="center" readingOrder="0" shrinkToFit="0" wrapText="1"/>
    </xf>
    <xf borderId="1" fillId="8" fontId="2" numFmtId="0" xfId="0" applyAlignment="1" applyBorder="1" applyFont="1">
      <alignment horizontal="center" readingOrder="0" shrinkToFit="0" wrapText="0"/>
    </xf>
    <xf borderId="1" fillId="8" fontId="15" numFmtId="0" xfId="0" applyAlignment="1" applyBorder="1" applyFont="1">
      <alignment horizontal="center" readingOrder="0" shrinkToFit="0" wrapText="0"/>
    </xf>
    <xf borderId="1" fillId="0" fontId="2" numFmtId="0" xfId="0" applyAlignment="1" applyBorder="1" applyFont="1">
      <alignment horizontal="center" readingOrder="0" shrinkToFit="0" wrapText="0"/>
    </xf>
    <xf borderId="1" fillId="9" fontId="16" numFmtId="0" xfId="0" applyAlignment="1" applyBorder="1" applyFill="1" applyFont="1">
      <alignment horizontal="left" readingOrder="0" shrinkToFit="0" wrapText="1"/>
    </xf>
    <xf borderId="1" fillId="10" fontId="6" numFmtId="0" xfId="0" applyAlignment="1" applyBorder="1" applyFill="1" applyFont="1">
      <alignment horizontal="center" readingOrder="0"/>
    </xf>
    <xf borderId="1" fillId="9" fontId="6" numFmtId="0" xfId="0" applyAlignment="1" applyBorder="1" applyFont="1">
      <alignment horizontal="center" readingOrder="0"/>
    </xf>
    <xf borderId="1" fillId="0" fontId="6" numFmtId="0" xfId="0" applyAlignment="1" applyBorder="1" applyFont="1">
      <alignment horizontal="center" readingOrder="0"/>
    </xf>
    <xf borderId="1" fillId="7" fontId="16" numFmtId="0" xfId="0" applyAlignment="1" applyBorder="1" applyFont="1">
      <alignment horizontal="left" readingOrder="0" shrinkToFit="0" wrapText="1"/>
    </xf>
    <xf borderId="1" fillId="11" fontId="6" numFmtId="0" xfId="0" applyAlignment="1" applyBorder="1" applyFill="1" applyFont="1">
      <alignment horizontal="center" readingOrder="0"/>
    </xf>
    <xf borderId="1" fillId="7" fontId="6" numFmtId="0" xfId="0" applyAlignment="1" applyBorder="1" applyFont="1">
      <alignment horizontal="center" readingOrder="0"/>
    </xf>
    <xf borderId="1" fillId="12" fontId="6" numFmtId="0" xfId="0" applyAlignment="1" applyBorder="1" applyFill="1" applyFont="1">
      <alignment horizontal="center" readingOrder="0"/>
    </xf>
    <xf borderId="0" fillId="13" fontId="17" numFmtId="0" xfId="0" applyAlignment="1" applyFill="1" applyFont="1">
      <alignment horizontal="center" shrinkToFit="0" wrapText="1"/>
    </xf>
    <xf borderId="0" fillId="13" fontId="2" numFmtId="0" xfId="0" applyAlignment="1" applyFont="1">
      <alignment horizontal="center" readingOrder="0"/>
    </xf>
    <xf borderId="0" fillId="13" fontId="2" numFmtId="0" xfId="0" applyAlignment="1" applyFont="1">
      <alignment horizontal="center"/>
    </xf>
    <xf borderId="1" fillId="9" fontId="6" numFmtId="0" xfId="0" applyAlignment="1" applyBorder="1" applyFont="1">
      <alignment horizontal="left" readingOrder="0" shrinkToFit="0" wrapText="1"/>
    </xf>
    <xf borderId="1" fillId="7" fontId="6" numFmtId="0" xfId="0" applyAlignment="1" applyBorder="1" applyFont="1">
      <alignment horizontal="left" readingOrder="0" shrinkToFit="0" wrapText="1"/>
    </xf>
    <xf borderId="0" fillId="13" fontId="2" numFmtId="0" xfId="0" applyAlignment="1" applyFont="1">
      <alignment horizontal="center"/>
    </xf>
    <xf borderId="1" fillId="14" fontId="7" numFmtId="0" xfId="0" applyAlignment="1" applyBorder="1" applyFill="1" applyFont="1">
      <alignment horizontal="center" readingOrder="0" shrinkToFit="0" wrapText="0"/>
    </xf>
    <xf borderId="1" fillId="0" fontId="7" numFmtId="0" xfId="0" applyAlignment="1" applyBorder="1" applyFont="1">
      <alignment horizontal="center" readingOrder="0" shrinkToFit="0" wrapText="0"/>
    </xf>
    <xf borderId="1" fillId="7" fontId="18" numFmtId="0" xfId="0" applyAlignment="1" applyBorder="1" applyFont="1">
      <alignment horizontal="center" readingOrder="0" shrinkToFit="0" wrapText="0"/>
    </xf>
    <xf borderId="1" fillId="6" fontId="2" numFmtId="0" xfId="0" applyAlignment="1" applyBorder="1" applyFont="1">
      <alignment horizontal="center" readingOrder="0" shrinkToFit="0" wrapText="0"/>
    </xf>
    <xf borderId="1" fillId="0" fontId="16" numFmtId="0" xfId="0" applyAlignment="1" applyBorder="1" applyFont="1">
      <alignment horizontal="center" readingOrder="0" shrinkToFit="0" wrapText="1"/>
    </xf>
    <xf borderId="1" fillId="0" fontId="6" numFmtId="0" xfId="0" applyAlignment="1" applyBorder="1" applyFont="1">
      <alignment horizontal="center" readingOrder="0" shrinkToFit="0" wrapText="0"/>
    </xf>
    <xf borderId="0" fillId="0" fontId="17" numFmtId="0" xfId="0" applyAlignment="1" applyFont="1">
      <alignment horizontal="center" shrinkToFit="0" wrapText="1"/>
    </xf>
    <xf borderId="0" fillId="0" fontId="2" numFmtId="0" xfId="0" applyAlignment="1" applyFont="1">
      <alignment horizontal="center" readingOrder="0"/>
    </xf>
    <xf borderId="0" fillId="0" fontId="2" numFmtId="0" xfId="0" applyAlignment="1" applyFont="1">
      <alignment horizontal="center"/>
    </xf>
    <xf borderId="1" fillId="8" fontId="2" numFmtId="0" xfId="0" applyAlignment="1" applyBorder="1" applyFont="1">
      <alignment horizontal="center" readingOrder="0" shrinkToFit="0" wrapText="0"/>
    </xf>
    <xf borderId="0" fillId="15" fontId="16" numFmtId="0" xfId="0" applyAlignment="1" applyFill="1" applyFont="1">
      <alignment horizontal="center" readingOrder="0" shrinkToFit="0" wrapText="0"/>
    </xf>
    <xf borderId="1" fillId="0" fontId="19" numFmtId="0" xfId="0" applyAlignment="1" applyBorder="1" applyFont="1">
      <alignment horizontal="left" readingOrder="0" shrinkToFit="0" wrapText="0"/>
    </xf>
    <xf borderId="0" fillId="0" fontId="2" numFmtId="0" xfId="0" applyAlignment="1" applyFont="1">
      <alignment horizontal="center"/>
    </xf>
    <xf borderId="1" fillId="0" fontId="18" numFmtId="0" xfId="0" applyAlignment="1" applyBorder="1" applyFont="1">
      <alignment horizontal="center" readingOrder="0" shrinkToFit="0" wrapText="0"/>
    </xf>
    <xf borderId="1" fillId="0" fontId="20" numFmtId="0" xfId="0" applyAlignment="1" applyBorder="1" applyFont="1">
      <alignment horizontal="left" readingOrder="0" shrinkToFit="0" wrapText="0"/>
    </xf>
    <xf borderId="1" fillId="0" fontId="2" numFmtId="0" xfId="0" applyAlignment="1" applyBorder="1" applyFont="1">
      <alignment horizontal="center" readingOrder="0" shrinkToFit="0" wrapText="0"/>
    </xf>
    <xf borderId="1" fillId="16" fontId="7" numFmtId="0" xfId="0" applyAlignment="1" applyBorder="1" applyFill="1" applyFont="1">
      <alignment horizontal="center" readingOrder="0" shrinkToFit="0" wrapText="0"/>
    </xf>
    <xf borderId="0" fillId="6" fontId="14" numFmtId="0" xfId="0" applyAlignment="1" applyFont="1">
      <alignment horizontal="left" readingOrder="0" shrinkToFit="0" wrapText="0"/>
    </xf>
    <xf borderId="1" fillId="15" fontId="16" numFmtId="0" xfId="0" applyAlignment="1" applyBorder="1" applyFont="1">
      <alignment horizontal="center" readingOrder="0" shrinkToFit="0" wrapText="0"/>
    </xf>
    <xf borderId="0" fillId="0" fontId="14"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0"/>
    </xf>
    <xf borderId="0" fillId="13" fontId="7" numFmtId="0" xfId="0" applyAlignment="1" applyFont="1">
      <alignment vertical="bottom"/>
    </xf>
    <xf borderId="0" fillId="13" fontId="2" numFmtId="0" xfId="0" applyAlignment="1" applyFont="1">
      <alignment horizontal="center" vertical="bottom"/>
    </xf>
    <xf borderId="1" fillId="0" fontId="16" numFmtId="0" xfId="0" applyAlignment="1" applyBorder="1" applyFont="1">
      <alignment horizontal="left" readingOrder="0" shrinkToFit="0" wrapText="1"/>
    </xf>
    <xf borderId="0" fillId="13" fontId="2" numFmtId="0" xfId="0" applyAlignment="1" applyFont="1">
      <alignment horizontal="center" vertical="bottom"/>
    </xf>
    <xf borderId="1" fillId="14" fontId="7" numFmtId="0" xfId="0" applyAlignment="1" applyBorder="1" applyFont="1">
      <alignment horizontal="center" readingOrder="0" vertical="bottom"/>
    </xf>
    <xf borderId="1" fillId="0" fontId="7" numFmtId="0" xfId="0" applyAlignment="1" applyBorder="1" applyFont="1">
      <alignment horizontal="center" readingOrder="0" vertical="bottom"/>
    </xf>
    <xf borderId="1" fillId="7" fontId="18" numFmtId="0" xfId="0" applyAlignment="1" applyBorder="1" applyFont="1">
      <alignment horizontal="center" readingOrder="0" vertical="bottom"/>
    </xf>
    <xf borderId="0" fillId="0" fontId="14" numFmtId="0" xfId="0" applyAlignment="1" applyFont="1">
      <alignment horizontal="left" readingOrder="0" shrinkToFit="0" wrapText="1"/>
    </xf>
    <xf borderId="1" fillId="6" fontId="2" numFmtId="0" xfId="0" applyAlignment="1" applyBorder="1" applyFont="1">
      <alignment horizontal="center" readingOrder="0" vertical="bottom"/>
    </xf>
    <xf borderId="1" fillId="0" fontId="6" numFmtId="0" xfId="0" applyAlignment="1" applyBorder="1" applyFont="1">
      <alignment horizontal="left" readingOrder="0" shrinkToFit="0" wrapText="1"/>
    </xf>
    <xf borderId="0" fillId="13" fontId="2" numFmtId="0" xfId="0" applyAlignment="1" applyFont="1">
      <alignment horizontal="center" readingOrder="0" vertical="bottom"/>
    </xf>
    <xf borderId="2" fillId="0" fontId="20" numFmtId="0" xfId="0" applyAlignment="1" applyBorder="1" applyFont="1">
      <alignment horizontal="left" readingOrder="0" shrinkToFit="0" vertical="top" wrapText="1"/>
    </xf>
    <xf borderId="3" fillId="0" fontId="21" numFmtId="0" xfId="0" applyBorder="1" applyFont="1"/>
    <xf borderId="1" fillId="0" fontId="6" numFmtId="0" xfId="0" applyAlignment="1" applyBorder="1" applyFont="1">
      <alignment horizontal="left" readingOrder="0" vertical="top"/>
    </xf>
    <xf borderId="1" fillId="0" fontId="6" numFmtId="0" xfId="0" applyAlignment="1" applyBorder="1" applyFont="1">
      <alignment shrinkToFit="0" vertical="bottom" wrapText="0"/>
    </xf>
    <xf borderId="4" fillId="0" fontId="20" numFmtId="0" xfId="0" applyAlignment="1" applyBorder="1" applyFont="1">
      <alignment horizontal="left" readingOrder="0" shrinkToFit="0" vertical="top" wrapText="1"/>
    </xf>
    <xf borderId="5" fillId="0" fontId="21" numFmtId="0" xfId="0" applyBorder="1" applyFont="1"/>
    <xf borderId="6" fillId="0" fontId="6" numFmtId="0" xfId="0" applyAlignment="1" applyBorder="1" applyFont="1">
      <alignment horizontal="left" readingOrder="0" vertical="top"/>
    </xf>
    <xf borderId="6" fillId="0" fontId="6" numFmtId="0" xfId="0" applyAlignment="1" applyBorder="1" applyFont="1">
      <alignment shrinkToFit="0" vertical="bottom" wrapText="0"/>
    </xf>
    <xf borderId="7" fillId="13" fontId="22" numFmtId="0" xfId="0" applyAlignment="1" applyBorder="1" applyFont="1">
      <alignment readingOrder="0"/>
    </xf>
    <xf borderId="8" fillId="0" fontId="21" numFmtId="0" xfId="0" applyBorder="1" applyFont="1"/>
    <xf borderId="9" fillId="0" fontId="21" numFmtId="0" xfId="0" applyBorder="1" applyFont="1"/>
    <xf borderId="10" fillId="13" fontId="2" numFmtId="0" xfId="0" applyAlignment="1" applyBorder="1" applyFont="1">
      <alignment horizontal="center" readingOrder="0"/>
    </xf>
    <xf borderId="10" fillId="7" fontId="16" numFmtId="0" xfId="0" applyAlignment="1" applyBorder="1" applyFont="1">
      <alignment readingOrder="0"/>
    </xf>
    <xf borderId="10" fillId="0" fontId="6" numFmtId="0" xfId="0" applyAlignment="1" applyBorder="1" applyFont="1">
      <alignment horizontal="center" readingOrder="0"/>
    </xf>
    <xf borderId="10" fillId="13" fontId="2" numFmtId="0" xfId="0" applyAlignment="1" applyBorder="1" applyFont="1">
      <alignment readingOrder="0"/>
    </xf>
    <xf borderId="0" fillId="0" fontId="3" numFmtId="0" xfId="0" applyAlignment="1" applyFont="1">
      <alignment shrinkToFit="0" wrapText="1"/>
    </xf>
    <xf borderId="10" fillId="13" fontId="3" numFmtId="0" xfId="0" applyAlignment="1" applyBorder="1" applyFont="1">
      <alignment vertical="bottom"/>
    </xf>
    <xf borderId="10" fillId="17" fontId="16" numFmtId="0" xfId="0" applyAlignment="1" applyBorder="1" applyFill="1" applyFont="1">
      <alignment horizontal="center" readingOrder="0"/>
    </xf>
    <xf borderId="10" fillId="12" fontId="6" numFmtId="0" xfId="0" applyAlignment="1" applyBorder="1" applyFont="1">
      <alignment horizontal="center" readingOrder="0"/>
    </xf>
    <xf borderId="10" fillId="18" fontId="6" numFmtId="0" xfId="0" applyAlignment="1" applyBorder="1" applyFill="1" applyFont="1">
      <alignment horizontal="center" readingOrder="0"/>
    </xf>
    <xf borderId="10" fillId="9" fontId="6" numFmtId="0" xfId="0" applyAlignment="1" applyBorder="1" applyFont="1">
      <alignment horizontal="center" readingOrder="0"/>
    </xf>
    <xf borderId="10" fillId="19" fontId="6" numFmtId="0" xfId="0" applyAlignment="1" applyBorder="1" applyFill="1" applyFont="1">
      <alignment horizontal="center" readingOrder="0"/>
    </xf>
    <xf borderId="11" fillId="20" fontId="23" numFmtId="0" xfId="0" applyAlignment="1" applyBorder="1" applyFill="1" applyFont="1">
      <alignment readingOrder="0"/>
    </xf>
    <xf borderId="12" fillId="0" fontId="21" numFmtId="0" xfId="0" applyBorder="1" applyFont="1"/>
    <xf borderId="13" fillId="0" fontId="21" numFmtId="0" xfId="0" applyBorder="1" applyFont="1"/>
    <xf borderId="14" fillId="21" fontId="2" numFmtId="0" xfId="0" applyAlignment="1" applyBorder="1" applyFill="1" applyFont="1">
      <alignment readingOrder="0"/>
    </xf>
    <xf borderId="15" fillId="21" fontId="2" numFmtId="0" xfId="0" applyAlignment="1" applyBorder="1" applyFont="1">
      <alignment horizontal="center" readingOrder="0"/>
    </xf>
    <xf borderId="15" fillId="21" fontId="2" numFmtId="0" xfId="0" applyAlignment="1" applyBorder="1" applyFont="1">
      <alignment readingOrder="0"/>
    </xf>
    <xf borderId="14" fillId="9" fontId="6" numFmtId="0" xfId="0" applyAlignment="1" applyBorder="1" applyFont="1">
      <alignment readingOrder="0"/>
    </xf>
    <xf borderId="15" fillId="9" fontId="16" numFmtId="0" xfId="0" applyAlignment="1" applyBorder="1" applyFont="1">
      <alignment horizontal="center" readingOrder="0"/>
    </xf>
    <xf borderId="15" fillId="9" fontId="24" numFmtId="0" xfId="0" applyAlignment="1" applyBorder="1" applyFont="1">
      <alignment readingOrder="0" shrinkToFit="0" wrapText="1"/>
    </xf>
    <xf borderId="14" fillId="12" fontId="6" numFmtId="0" xfId="0" applyAlignment="1" applyBorder="1" applyFont="1">
      <alignment readingOrder="0"/>
    </xf>
    <xf borderId="15" fillId="12" fontId="16" numFmtId="0" xfId="0" applyAlignment="1" applyBorder="1" applyFont="1">
      <alignment horizontal="center" readingOrder="0"/>
    </xf>
    <xf borderId="15" fillId="12" fontId="24" numFmtId="0" xfId="0" applyAlignment="1" applyBorder="1" applyFont="1">
      <alignment readingOrder="0" shrinkToFit="0" wrapText="1"/>
    </xf>
    <xf borderId="0" fillId="0" fontId="25" numFmtId="0" xfId="0" applyAlignment="1" applyFont="1">
      <alignment readingOrder="0"/>
    </xf>
    <xf borderId="7" fillId="13" fontId="2" numFmtId="0" xfId="0" applyAlignment="1" applyBorder="1" applyFont="1">
      <alignment readingOrder="0"/>
    </xf>
    <xf borderId="10" fillId="17" fontId="16" numFmtId="0" xfId="0" applyAlignment="1" applyBorder="1" applyFont="1">
      <alignment readingOrder="0"/>
    </xf>
    <xf borderId="10" fillId="18" fontId="16" numFmtId="0" xfId="0" applyAlignment="1" applyBorder="1" applyFont="1">
      <alignment horizontal="center" readingOrder="0"/>
    </xf>
    <xf borderId="10" fillId="19" fontId="1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'Feuille 2'!$C$1</c:f>
            </c:strRef>
          </c:tx>
          <c:spPr>
            <a:solidFill>
              <a:schemeClr val="accent1"/>
            </a:solidFill>
            <a:ln cmpd="sng">
              <a:solidFill>
                <a:srgbClr val="000000"/>
              </a:solidFill>
            </a:ln>
          </c:spPr>
          <c:cat>
            <c:strRef>
              <c:f>'Feuille 2'!$B$2:$B$41</c:f>
            </c:strRef>
          </c:cat>
          <c:val>
            <c:numRef>
              <c:f>'Feuille 2'!$C$2:$C$41</c:f>
              <c:numCache/>
            </c:numRef>
          </c:val>
        </c:ser>
        <c:axId val="180437826"/>
        <c:axId val="393409015"/>
      </c:barChart>
      <c:catAx>
        <c:axId val="180437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3409015"/>
      </c:catAx>
      <c:valAx>
        <c:axId val="393409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43782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1</xdr:row>
      <xdr:rowOff>76200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2.63"/>
  </cols>
  <sheetData>
    <row r="1">
      <c r="A1" s="1" t="s">
        <v>0</v>
      </c>
      <c r="B1" s="1" t="s">
        <v>1</v>
      </c>
      <c r="C1" s="2" t="s">
        <v>2</v>
      </c>
      <c r="D1" s="2" t="s">
        <v>3</v>
      </c>
      <c r="E1" s="2" t="s">
        <v>4</v>
      </c>
      <c r="F1" s="3" t="s">
        <v>5</v>
      </c>
      <c r="G1" s="1" t="s">
        <v>6</v>
      </c>
      <c r="H1" s="1" t="s">
        <v>7</v>
      </c>
      <c r="I1" s="1" t="s">
        <v>8</v>
      </c>
      <c r="J1" s="4" t="s">
        <v>9</v>
      </c>
      <c r="K1" s="1" t="s">
        <v>10</v>
      </c>
      <c r="L1" s="1" t="s">
        <v>11</v>
      </c>
      <c r="M1" s="1" t="s">
        <v>12</v>
      </c>
      <c r="N1" s="2" t="s">
        <v>13</v>
      </c>
      <c r="O1" s="5" t="s">
        <v>14</v>
      </c>
      <c r="P1" s="2" t="s">
        <v>15</v>
      </c>
      <c r="Q1" s="5" t="s">
        <v>16</v>
      </c>
      <c r="R1" s="2" t="s">
        <v>17</v>
      </c>
      <c r="S1" s="5" t="s">
        <v>18</v>
      </c>
      <c r="T1" s="6" t="s">
        <v>19</v>
      </c>
      <c r="U1" s="6" t="s">
        <v>20</v>
      </c>
      <c r="V1" s="6" t="s">
        <v>21</v>
      </c>
      <c r="W1" s="6" t="s">
        <v>22</v>
      </c>
      <c r="X1" s="6" t="s">
        <v>23</v>
      </c>
      <c r="Y1" s="6" t="s">
        <v>24</v>
      </c>
    </row>
    <row r="2">
      <c r="A2" s="7" t="s">
        <v>25</v>
      </c>
      <c r="B2" s="8" t="s">
        <v>26</v>
      </c>
      <c r="C2" s="9" t="s">
        <v>27</v>
      </c>
      <c r="D2" s="9" t="s">
        <v>28</v>
      </c>
      <c r="E2" s="10" t="s">
        <v>29</v>
      </c>
      <c r="F2" s="11" t="s">
        <v>30</v>
      </c>
      <c r="G2" s="12" t="s">
        <v>31</v>
      </c>
      <c r="H2" s="12" t="s">
        <v>31</v>
      </c>
      <c r="I2" s="12" t="s">
        <v>32</v>
      </c>
      <c r="J2" s="13" t="s">
        <v>32</v>
      </c>
      <c r="K2" s="14" t="s">
        <v>33</v>
      </c>
      <c r="L2" s="14" t="s">
        <v>34</v>
      </c>
      <c r="M2" s="14" t="s">
        <v>35</v>
      </c>
      <c r="N2" s="15" t="s">
        <v>36</v>
      </c>
      <c r="O2" s="14" t="s">
        <v>37</v>
      </c>
      <c r="P2" s="14" t="s">
        <v>36</v>
      </c>
      <c r="Q2" s="14" t="s">
        <v>38</v>
      </c>
      <c r="R2" s="14" t="s">
        <v>36</v>
      </c>
      <c r="S2" s="14" t="s">
        <v>37</v>
      </c>
      <c r="T2" s="14">
        <f t="shared" ref="T2:T501" si="1">COUNTIF(G2:J2,"*Normal*")</f>
        <v>0</v>
      </c>
      <c r="U2" s="14">
        <f t="shared" ref="U2:U501" si="2">COUNTIF(G2:J2,"*Offensive*")</f>
        <v>2</v>
      </c>
      <c r="V2" s="14">
        <f t="shared" ref="V2:V501" si="3">COUNTIF(G2:J2,"*Hate Speech*")</f>
        <v>2</v>
      </c>
      <c r="W2" s="16">
        <f t="shared" ref="W2:W501" si="4">SUM(T2:V2)/4</f>
        <v>1</v>
      </c>
      <c r="X2" s="14" t="b">
        <f t="shared" ref="X2:X501" si="5">IF(T2&gt;2,"Normal", IF(U2&gt;2, "Offensive", IF(V2&gt;2, "Hate Speech")))</f>
        <v>0</v>
      </c>
      <c r="Y2" s="17">
        <f t="shared" ref="Y2:Y501" si="6">STDEV(T2:V2)</f>
        <v>1.154700538</v>
      </c>
    </row>
    <row r="3">
      <c r="A3" s="7" t="s">
        <v>39</v>
      </c>
      <c r="B3" s="8" t="s">
        <v>40</v>
      </c>
      <c r="C3" s="9" t="s">
        <v>41</v>
      </c>
      <c r="D3" s="9" t="s">
        <v>42</v>
      </c>
      <c r="E3" s="10" t="s">
        <v>43</v>
      </c>
      <c r="F3" s="18" t="s">
        <v>44</v>
      </c>
      <c r="G3" s="12" t="s">
        <v>45</v>
      </c>
      <c r="H3" s="12" t="s">
        <v>45</v>
      </c>
      <c r="I3" s="19" t="s">
        <v>31</v>
      </c>
      <c r="J3" s="13" t="s">
        <v>45</v>
      </c>
      <c r="K3" s="14" t="s">
        <v>33</v>
      </c>
      <c r="L3" s="14" t="s">
        <v>46</v>
      </c>
      <c r="M3" s="14" t="s">
        <v>47</v>
      </c>
      <c r="N3" s="15" t="s">
        <v>48</v>
      </c>
      <c r="O3" s="14" t="s">
        <v>42</v>
      </c>
      <c r="P3" s="14" t="s">
        <v>49</v>
      </c>
      <c r="Q3" s="14" t="s">
        <v>42</v>
      </c>
      <c r="R3" s="14" t="s">
        <v>48</v>
      </c>
      <c r="S3" s="14" t="s">
        <v>43</v>
      </c>
      <c r="T3" s="14">
        <f t="shared" si="1"/>
        <v>3</v>
      </c>
      <c r="U3" s="14">
        <f t="shared" si="2"/>
        <v>1</v>
      </c>
      <c r="V3" s="14">
        <f t="shared" si="3"/>
        <v>0</v>
      </c>
      <c r="W3" s="16">
        <f t="shared" si="4"/>
        <v>1</v>
      </c>
      <c r="X3" s="14" t="str">
        <f t="shared" si="5"/>
        <v>Normal</v>
      </c>
      <c r="Y3" s="17">
        <f t="shared" si="6"/>
        <v>1.527525232</v>
      </c>
    </row>
    <row r="4">
      <c r="A4" s="7" t="s">
        <v>50</v>
      </c>
      <c r="B4" s="8" t="s">
        <v>51</v>
      </c>
      <c r="C4" s="9" t="s">
        <v>52</v>
      </c>
      <c r="D4" s="9" t="s">
        <v>37</v>
      </c>
      <c r="E4" s="10" t="s">
        <v>53</v>
      </c>
      <c r="F4" s="11" t="s">
        <v>54</v>
      </c>
      <c r="G4" s="12" t="s">
        <v>45</v>
      </c>
      <c r="H4" s="12" t="s">
        <v>45</v>
      </c>
      <c r="I4" s="19" t="s">
        <v>32</v>
      </c>
      <c r="J4" s="13" t="s">
        <v>32</v>
      </c>
      <c r="K4" s="14" t="s">
        <v>33</v>
      </c>
      <c r="L4" s="14" t="s">
        <v>55</v>
      </c>
      <c r="M4" s="14" t="s">
        <v>47</v>
      </c>
      <c r="N4" s="15" t="s">
        <v>48</v>
      </c>
      <c r="O4" s="14" t="s">
        <v>42</v>
      </c>
      <c r="P4" s="14" t="s">
        <v>48</v>
      </c>
      <c r="Q4" s="14" t="s">
        <v>42</v>
      </c>
      <c r="R4" s="14" t="s">
        <v>48</v>
      </c>
      <c r="S4" s="14" t="s">
        <v>42</v>
      </c>
      <c r="T4" s="14">
        <f t="shared" si="1"/>
        <v>2</v>
      </c>
      <c r="U4" s="14">
        <f t="shared" si="2"/>
        <v>0</v>
      </c>
      <c r="V4" s="14">
        <f t="shared" si="3"/>
        <v>2</v>
      </c>
      <c r="W4" s="16">
        <f t="shared" si="4"/>
        <v>1</v>
      </c>
      <c r="X4" s="14" t="b">
        <f t="shared" si="5"/>
        <v>0</v>
      </c>
      <c r="Y4" s="17">
        <f t="shared" si="6"/>
        <v>1.154700538</v>
      </c>
    </row>
    <row r="5">
      <c r="A5" s="7" t="s">
        <v>56</v>
      </c>
      <c r="B5" s="8" t="s">
        <v>57</v>
      </c>
      <c r="C5" s="9" t="s">
        <v>58</v>
      </c>
      <c r="D5" s="9" t="s">
        <v>59</v>
      </c>
      <c r="E5" s="10" t="s">
        <v>60</v>
      </c>
      <c r="F5" s="18" t="s">
        <v>44</v>
      </c>
      <c r="G5" s="12" t="s">
        <v>45</v>
      </c>
      <c r="H5" s="12" t="s">
        <v>31</v>
      </c>
      <c r="I5" s="19" t="s">
        <v>45</v>
      </c>
      <c r="J5" s="13" t="s">
        <v>45</v>
      </c>
      <c r="K5" s="14" t="s">
        <v>33</v>
      </c>
      <c r="L5" s="14" t="s">
        <v>61</v>
      </c>
      <c r="M5" s="14" t="s">
        <v>47</v>
      </c>
      <c r="N5" s="15" t="s">
        <v>48</v>
      </c>
      <c r="O5" s="14" t="s">
        <v>42</v>
      </c>
      <c r="P5" s="14" t="s">
        <v>48</v>
      </c>
      <c r="Q5" s="14" t="s">
        <v>42</v>
      </c>
      <c r="R5" s="14" t="s">
        <v>49</v>
      </c>
      <c r="S5" s="14" t="s">
        <v>62</v>
      </c>
      <c r="T5" s="14">
        <f t="shared" si="1"/>
        <v>3</v>
      </c>
      <c r="U5" s="14">
        <f t="shared" si="2"/>
        <v>1</v>
      </c>
      <c r="V5" s="14">
        <f t="shared" si="3"/>
        <v>0</v>
      </c>
      <c r="W5" s="16">
        <f t="shared" si="4"/>
        <v>1</v>
      </c>
      <c r="X5" s="14" t="str">
        <f t="shared" si="5"/>
        <v>Normal</v>
      </c>
      <c r="Y5" s="17">
        <f t="shared" si="6"/>
        <v>1.527525232</v>
      </c>
    </row>
    <row r="6">
      <c r="A6" s="7" t="s">
        <v>63</v>
      </c>
      <c r="B6" s="8" t="s">
        <v>64</v>
      </c>
      <c r="C6" s="9" t="s">
        <v>65</v>
      </c>
      <c r="D6" s="9" t="s">
        <v>66</v>
      </c>
      <c r="E6" s="10" t="s">
        <v>67</v>
      </c>
      <c r="F6" s="11" t="s">
        <v>68</v>
      </c>
      <c r="G6" s="12" t="s">
        <v>32</v>
      </c>
      <c r="H6" s="12" t="s">
        <v>31</v>
      </c>
      <c r="I6" s="12" t="s">
        <v>32</v>
      </c>
      <c r="J6" s="13" t="s">
        <v>32</v>
      </c>
      <c r="K6" s="14" t="s">
        <v>33</v>
      </c>
      <c r="L6" s="14" t="s">
        <v>34</v>
      </c>
      <c r="M6" s="14" t="s">
        <v>35</v>
      </c>
      <c r="N6" s="15" t="s">
        <v>48</v>
      </c>
      <c r="O6" s="14" t="s">
        <v>42</v>
      </c>
      <c r="P6" s="14" t="s">
        <v>48</v>
      </c>
      <c r="Q6" s="14" t="s">
        <v>42</v>
      </c>
      <c r="R6" s="14" t="s">
        <v>48</v>
      </c>
      <c r="S6" s="14" t="s">
        <v>42</v>
      </c>
      <c r="T6" s="14">
        <f t="shared" si="1"/>
        <v>0</v>
      </c>
      <c r="U6" s="14">
        <f t="shared" si="2"/>
        <v>1</v>
      </c>
      <c r="V6" s="14">
        <f t="shared" si="3"/>
        <v>3</v>
      </c>
      <c r="W6" s="16">
        <f t="shared" si="4"/>
        <v>1</v>
      </c>
      <c r="X6" s="14" t="str">
        <f t="shared" si="5"/>
        <v>Hate Speech</v>
      </c>
      <c r="Y6" s="17">
        <f t="shared" si="6"/>
        <v>1.527525232</v>
      </c>
    </row>
    <row r="7">
      <c r="A7" s="7" t="s">
        <v>69</v>
      </c>
      <c r="B7" s="8" t="s">
        <v>70</v>
      </c>
      <c r="C7" s="9" t="s">
        <v>71</v>
      </c>
      <c r="D7" s="9" t="s">
        <v>72</v>
      </c>
      <c r="E7" s="10" t="s">
        <v>73</v>
      </c>
      <c r="F7" s="11" t="s">
        <v>73</v>
      </c>
      <c r="G7" s="12" t="s">
        <v>31</v>
      </c>
      <c r="H7" s="12" t="s">
        <v>31</v>
      </c>
      <c r="I7" s="19" t="s">
        <v>32</v>
      </c>
      <c r="J7" s="13" t="s">
        <v>32</v>
      </c>
      <c r="K7" s="14" t="s">
        <v>33</v>
      </c>
      <c r="L7" s="14" t="s">
        <v>46</v>
      </c>
      <c r="M7" s="14" t="s">
        <v>35</v>
      </c>
      <c r="N7" s="15" t="s">
        <v>49</v>
      </c>
      <c r="O7" s="14" t="s">
        <v>72</v>
      </c>
      <c r="P7" s="14" t="s">
        <v>48</v>
      </c>
      <c r="Q7" s="14" t="s">
        <v>72</v>
      </c>
      <c r="R7" s="14" t="s">
        <v>48</v>
      </c>
      <c r="S7" s="14" t="s">
        <v>42</v>
      </c>
      <c r="T7" s="14">
        <f t="shared" si="1"/>
        <v>0</v>
      </c>
      <c r="U7" s="14">
        <f t="shared" si="2"/>
        <v>2</v>
      </c>
      <c r="V7" s="14">
        <f t="shared" si="3"/>
        <v>2</v>
      </c>
      <c r="W7" s="16">
        <f t="shared" si="4"/>
        <v>1</v>
      </c>
      <c r="X7" s="14" t="b">
        <f t="shared" si="5"/>
        <v>0</v>
      </c>
      <c r="Y7" s="17">
        <f t="shared" si="6"/>
        <v>1.154700538</v>
      </c>
    </row>
    <row r="8">
      <c r="A8" s="7" t="s">
        <v>74</v>
      </c>
      <c r="B8" s="8" t="s">
        <v>75</v>
      </c>
      <c r="C8" s="9" t="s">
        <v>76</v>
      </c>
      <c r="D8" s="9" t="s">
        <v>77</v>
      </c>
      <c r="E8" s="10" t="s">
        <v>78</v>
      </c>
      <c r="F8" s="18" t="s">
        <v>44</v>
      </c>
      <c r="G8" s="12" t="s">
        <v>31</v>
      </c>
      <c r="H8" s="12" t="s">
        <v>45</v>
      </c>
      <c r="I8" s="19" t="s">
        <v>31</v>
      </c>
      <c r="J8" s="13" t="s">
        <v>45</v>
      </c>
      <c r="K8" s="14" t="s">
        <v>33</v>
      </c>
      <c r="L8" s="14" t="s">
        <v>55</v>
      </c>
      <c r="M8" s="14" t="s">
        <v>47</v>
      </c>
      <c r="N8" s="15" t="s">
        <v>49</v>
      </c>
      <c r="O8" s="14" t="s">
        <v>77</v>
      </c>
      <c r="P8" s="14" t="s">
        <v>48</v>
      </c>
      <c r="Q8" s="14" t="s">
        <v>77</v>
      </c>
      <c r="R8" s="14" t="s">
        <v>49</v>
      </c>
      <c r="S8" s="14" t="s">
        <v>79</v>
      </c>
      <c r="T8" s="14">
        <f t="shared" si="1"/>
        <v>2</v>
      </c>
      <c r="U8" s="14">
        <f t="shared" si="2"/>
        <v>2</v>
      </c>
      <c r="V8" s="14">
        <f t="shared" si="3"/>
        <v>0</v>
      </c>
      <c r="W8" s="16">
        <f t="shared" si="4"/>
        <v>1</v>
      </c>
      <c r="X8" s="14" t="b">
        <f t="shared" si="5"/>
        <v>0</v>
      </c>
      <c r="Y8" s="17">
        <f t="shared" si="6"/>
        <v>1.154700538</v>
      </c>
    </row>
    <row r="9">
      <c r="A9" s="7" t="s">
        <v>80</v>
      </c>
      <c r="B9" s="8" t="s">
        <v>81</v>
      </c>
      <c r="C9" s="9" t="s">
        <v>82</v>
      </c>
      <c r="D9" s="9" t="s">
        <v>83</v>
      </c>
      <c r="E9" s="10" t="s">
        <v>84</v>
      </c>
      <c r="F9" s="18" t="s">
        <v>44</v>
      </c>
      <c r="G9" s="12" t="s">
        <v>31</v>
      </c>
      <c r="H9" s="12" t="s">
        <v>45</v>
      </c>
      <c r="I9" s="19" t="s">
        <v>31</v>
      </c>
      <c r="J9" s="13" t="s">
        <v>45</v>
      </c>
      <c r="K9" s="14" t="s">
        <v>33</v>
      </c>
      <c r="L9" s="14" t="s">
        <v>61</v>
      </c>
      <c r="M9" s="14" t="s">
        <v>47</v>
      </c>
      <c r="N9" s="15" t="s">
        <v>48</v>
      </c>
      <c r="O9" s="14" t="s">
        <v>83</v>
      </c>
      <c r="P9" s="14" t="s">
        <v>48</v>
      </c>
      <c r="Q9" s="14" t="s">
        <v>83</v>
      </c>
      <c r="R9" s="14" t="s">
        <v>48</v>
      </c>
      <c r="S9" s="14" t="s">
        <v>83</v>
      </c>
      <c r="T9" s="14">
        <f t="shared" si="1"/>
        <v>2</v>
      </c>
      <c r="U9" s="14">
        <f t="shared" si="2"/>
        <v>2</v>
      </c>
      <c r="V9" s="14">
        <f t="shared" si="3"/>
        <v>0</v>
      </c>
      <c r="W9" s="16">
        <f t="shared" si="4"/>
        <v>1</v>
      </c>
      <c r="X9" s="14" t="b">
        <f t="shared" si="5"/>
        <v>0</v>
      </c>
      <c r="Y9" s="17">
        <f t="shared" si="6"/>
        <v>1.154700538</v>
      </c>
    </row>
    <row r="10">
      <c r="A10" s="7" t="s">
        <v>85</v>
      </c>
      <c r="B10" s="8" t="s">
        <v>86</v>
      </c>
      <c r="C10" s="9" t="s">
        <v>87</v>
      </c>
      <c r="D10" s="9" t="s">
        <v>83</v>
      </c>
      <c r="E10" s="10" t="s">
        <v>88</v>
      </c>
      <c r="F10" s="11" t="s">
        <v>89</v>
      </c>
      <c r="G10" s="12" t="s">
        <v>31</v>
      </c>
      <c r="H10" s="12" t="s">
        <v>31</v>
      </c>
      <c r="I10" s="12" t="s">
        <v>31</v>
      </c>
      <c r="J10" s="13" t="s">
        <v>31</v>
      </c>
      <c r="K10" s="14" t="s">
        <v>33</v>
      </c>
      <c r="L10" s="14" t="s">
        <v>34</v>
      </c>
      <c r="M10" s="14" t="s">
        <v>47</v>
      </c>
      <c r="N10" s="15" t="s">
        <v>48</v>
      </c>
      <c r="O10" s="14" t="s">
        <v>42</v>
      </c>
      <c r="P10" s="14" t="s">
        <v>48</v>
      </c>
      <c r="Q10" s="14" t="s">
        <v>42</v>
      </c>
      <c r="R10" s="14" t="s">
        <v>48</v>
      </c>
      <c r="S10" s="14" t="s">
        <v>42</v>
      </c>
      <c r="T10" s="14">
        <f t="shared" si="1"/>
        <v>0</v>
      </c>
      <c r="U10" s="14">
        <f t="shared" si="2"/>
        <v>4</v>
      </c>
      <c r="V10" s="14">
        <f t="shared" si="3"/>
        <v>0</v>
      </c>
      <c r="W10" s="16">
        <f t="shared" si="4"/>
        <v>1</v>
      </c>
      <c r="X10" s="14" t="str">
        <f t="shared" si="5"/>
        <v>Offensive</v>
      </c>
      <c r="Y10" s="17">
        <f t="shared" si="6"/>
        <v>2.309401077</v>
      </c>
    </row>
    <row r="11">
      <c r="A11" s="7" t="s">
        <v>90</v>
      </c>
      <c r="B11" s="8" t="s">
        <v>91</v>
      </c>
      <c r="C11" s="9" t="s">
        <v>92</v>
      </c>
      <c r="D11" s="9" t="s">
        <v>93</v>
      </c>
      <c r="E11" s="10" t="s">
        <v>54</v>
      </c>
      <c r="F11" s="11" t="s">
        <v>54</v>
      </c>
      <c r="G11" s="12" t="s">
        <v>31</v>
      </c>
      <c r="H11" s="12" t="s">
        <v>31</v>
      </c>
      <c r="I11" s="19" t="s">
        <v>32</v>
      </c>
      <c r="J11" s="13" t="s">
        <v>32</v>
      </c>
      <c r="K11" s="14" t="s">
        <v>33</v>
      </c>
      <c r="L11" s="14" t="s">
        <v>46</v>
      </c>
      <c r="M11" s="14" t="s">
        <v>35</v>
      </c>
      <c r="N11" s="15" t="s">
        <v>36</v>
      </c>
      <c r="O11" s="14" t="s">
        <v>94</v>
      </c>
      <c r="P11" s="14" t="s">
        <v>36</v>
      </c>
      <c r="Q11" s="14" t="s">
        <v>95</v>
      </c>
      <c r="R11" s="14" t="s">
        <v>36</v>
      </c>
      <c r="S11" s="14" t="s">
        <v>37</v>
      </c>
      <c r="T11" s="14">
        <f t="shared" si="1"/>
        <v>0</v>
      </c>
      <c r="U11" s="14">
        <f t="shared" si="2"/>
        <v>2</v>
      </c>
      <c r="V11" s="14">
        <f t="shared" si="3"/>
        <v>2</v>
      </c>
      <c r="W11" s="16">
        <f t="shared" si="4"/>
        <v>1</v>
      </c>
      <c r="X11" s="14" t="b">
        <f t="shared" si="5"/>
        <v>0</v>
      </c>
      <c r="Y11" s="17">
        <f t="shared" si="6"/>
        <v>1.154700538</v>
      </c>
    </row>
    <row r="12">
      <c r="A12" s="7" t="s">
        <v>96</v>
      </c>
      <c r="B12" s="8" t="s">
        <v>97</v>
      </c>
      <c r="C12" s="9" t="s">
        <v>98</v>
      </c>
      <c r="D12" s="9" t="s">
        <v>42</v>
      </c>
      <c r="E12" s="10" t="s">
        <v>99</v>
      </c>
      <c r="F12" s="11" t="s">
        <v>43</v>
      </c>
      <c r="G12" s="12" t="s">
        <v>31</v>
      </c>
      <c r="H12" s="12" t="s">
        <v>31</v>
      </c>
      <c r="I12" s="19" t="s">
        <v>31</v>
      </c>
      <c r="J12" s="13" t="s">
        <v>31</v>
      </c>
      <c r="K12" s="14" t="s">
        <v>33</v>
      </c>
      <c r="L12" s="14" t="s">
        <v>55</v>
      </c>
      <c r="M12" s="14" t="s">
        <v>47</v>
      </c>
      <c r="N12" s="15" t="s">
        <v>49</v>
      </c>
      <c r="O12" s="14" t="s">
        <v>42</v>
      </c>
      <c r="P12" s="14" t="s">
        <v>48</v>
      </c>
      <c r="Q12" s="14" t="s">
        <v>42</v>
      </c>
      <c r="R12" s="14" t="s">
        <v>49</v>
      </c>
      <c r="S12" s="14" t="s">
        <v>42</v>
      </c>
      <c r="T12" s="14">
        <f t="shared" si="1"/>
        <v>0</v>
      </c>
      <c r="U12" s="14">
        <f t="shared" si="2"/>
        <v>4</v>
      </c>
      <c r="V12" s="14">
        <f t="shared" si="3"/>
        <v>0</v>
      </c>
      <c r="W12" s="16">
        <f t="shared" si="4"/>
        <v>1</v>
      </c>
      <c r="X12" s="14" t="str">
        <f t="shared" si="5"/>
        <v>Offensive</v>
      </c>
      <c r="Y12" s="17">
        <f t="shared" si="6"/>
        <v>2.309401077</v>
      </c>
    </row>
    <row r="13">
      <c r="A13" s="7" t="s">
        <v>100</v>
      </c>
      <c r="B13" s="8" t="s">
        <v>101</v>
      </c>
      <c r="C13" s="9" t="s">
        <v>102</v>
      </c>
      <c r="D13" s="9" t="s">
        <v>103</v>
      </c>
      <c r="E13" s="10" t="s">
        <v>104</v>
      </c>
      <c r="F13" s="18" t="s">
        <v>44</v>
      </c>
      <c r="G13" s="12" t="s">
        <v>31</v>
      </c>
      <c r="H13" s="12" t="s">
        <v>31</v>
      </c>
      <c r="I13" s="19" t="s">
        <v>31</v>
      </c>
      <c r="J13" s="13" t="s">
        <v>45</v>
      </c>
      <c r="K13" s="14" t="s">
        <v>33</v>
      </c>
      <c r="L13" s="14" t="s">
        <v>61</v>
      </c>
      <c r="M13" s="14" t="s">
        <v>35</v>
      </c>
      <c r="N13" s="15" t="s">
        <v>48</v>
      </c>
      <c r="O13" s="14" t="s">
        <v>42</v>
      </c>
      <c r="P13" s="14" t="s">
        <v>49</v>
      </c>
      <c r="Q13" s="14" t="s">
        <v>105</v>
      </c>
      <c r="R13" s="14" t="s">
        <v>49</v>
      </c>
      <c r="S13" s="14" t="s">
        <v>42</v>
      </c>
      <c r="T13" s="14">
        <f t="shared" si="1"/>
        <v>1</v>
      </c>
      <c r="U13" s="14">
        <f t="shared" si="2"/>
        <v>3</v>
      </c>
      <c r="V13" s="14">
        <f t="shared" si="3"/>
        <v>0</v>
      </c>
      <c r="W13" s="16">
        <f t="shared" si="4"/>
        <v>1</v>
      </c>
      <c r="X13" s="14" t="str">
        <f t="shared" si="5"/>
        <v>Offensive</v>
      </c>
      <c r="Y13" s="17">
        <f t="shared" si="6"/>
        <v>1.527525232</v>
      </c>
    </row>
    <row r="14">
      <c r="A14" s="7" t="s">
        <v>106</v>
      </c>
      <c r="B14" s="8" t="s">
        <v>107</v>
      </c>
      <c r="C14" s="9" t="s">
        <v>108</v>
      </c>
      <c r="D14" s="9" t="s">
        <v>42</v>
      </c>
      <c r="E14" s="10" t="s">
        <v>109</v>
      </c>
      <c r="F14" s="11" t="s">
        <v>110</v>
      </c>
      <c r="G14" s="12" t="s">
        <v>31</v>
      </c>
      <c r="H14" s="20"/>
      <c r="I14" s="12" t="s">
        <v>31</v>
      </c>
      <c r="J14" s="13" t="s">
        <v>31</v>
      </c>
      <c r="K14" s="14" t="s">
        <v>33</v>
      </c>
      <c r="L14" s="14" t="s">
        <v>34</v>
      </c>
      <c r="M14" s="14" t="s">
        <v>47</v>
      </c>
      <c r="N14" s="15" t="s">
        <v>49</v>
      </c>
      <c r="O14" s="14" t="s">
        <v>105</v>
      </c>
      <c r="P14" s="14" t="s">
        <v>49</v>
      </c>
      <c r="Q14" s="14" t="s">
        <v>42</v>
      </c>
      <c r="R14" s="14" t="s">
        <v>49</v>
      </c>
      <c r="S14" s="14" t="s">
        <v>42</v>
      </c>
      <c r="T14" s="14">
        <f t="shared" si="1"/>
        <v>0</v>
      </c>
      <c r="U14" s="14">
        <f t="shared" si="2"/>
        <v>3</v>
      </c>
      <c r="V14" s="14">
        <f t="shared" si="3"/>
        <v>0</v>
      </c>
      <c r="W14" s="16">
        <f t="shared" si="4"/>
        <v>0.75</v>
      </c>
      <c r="X14" s="14" t="str">
        <f t="shared" si="5"/>
        <v>Offensive</v>
      </c>
      <c r="Y14" s="17">
        <f t="shared" si="6"/>
        <v>1.732050808</v>
      </c>
    </row>
    <row r="15">
      <c r="A15" s="7" t="s">
        <v>111</v>
      </c>
      <c r="B15" s="8" t="s">
        <v>112</v>
      </c>
      <c r="C15" s="9" t="s">
        <v>113</v>
      </c>
      <c r="D15" s="9" t="s">
        <v>66</v>
      </c>
      <c r="E15" s="10" t="s">
        <v>114</v>
      </c>
      <c r="F15" s="18" t="s">
        <v>44</v>
      </c>
      <c r="G15" s="12" t="s">
        <v>32</v>
      </c>
      <c r="H15" s="12" t="s">
        <v>31</v>
      </c>
      <c r="I15" s="19" t="s">
        <v>32</v>
      </c>
      <c r="J15" s="13" t="s">
        <v>45</v>
      </c>
      <c r="K15" s="14" t="s">
        <v>33</v>
      </c>
      <c r="L15" s="14" t="s">
        <v>46</v>
      </c>
      <c r="M15" s="14" t="s">
        <v>35</v>
      </c>
      <c r="N15" s="15" t="s">
        <v>36</v>
      </c>
      <c r="O15" s="14" t="s">
        <v>115</v>
      </c>
      <c r="P15" s="14" t="s">
        <v>36</v>
      </c>
      <c r="Q15" s="14" t="s">
        <v>116</v>
      </c>
      <c r="R15" s="14" t="s">
        <v>49</v>
      </c>
      <c r="S15" s="14" t="s">
        <v>115</v>
      </c>
      <c r="T15" s="14">
        <f t="shared" si="1"/>
        <v>1</v>
      </c>
      <c r="U15" s="14">
        <f t="shared" si="2"/>
        <v>1</v>
      </c>
      <c r="V15" s="14">
        <f t="shared" si="3"/>
        <v>2</v>
      </c>
      <c r="W15" s="16">
        <f t="shared" si="4"/>
        <v>1</v>
      </c>
      <c r="X15" s="14" t="b">
        <f t="shared" si="5"/>
        <v>0</v>
      </c>
      <c r="Y15" s="17">
        <f t="shared" si="6"/>
        <v>0.5773502692</v>
      </c>
    </row>
    <row r="16">
      <c r="A16" s="7" t="s">
        <v>117</v>
      </c>
      <c r="B16" s="8" t="s">
        <v>118</v>
      </c>
      <c r="C16" s="9" t="s">
        <v>119</v>
      </c>
      <c r="D16" s="9" t="s">
        <v>83</v>
      </c>
      <c r="E16" s="10" t="s">
        <v>120</v>
      </c>
      <c r="F16" s="11" t="s">
        <v>121</v>
      </c>
      <c r="G16" s="12" t="s">
        <v>31</v>
      </c>
      <c r="H16" s="12"/>
      <c r="I16" s="19" t="s">
        <v>32</v>
      </c>
      <c r="J16" s="13" t="s">
        <v>31</v>
      </c>
      <c r="K16" s="14" t="s">
        <v>33</v>
      </c>
      <c r="L16" s="14" t="s">
        <v>55</v>
      </c>
      <c r="M16" s="14" t="s">
        <v>35</v>
      </c>
      <c r="N16" s="15" t="s">
        <v>36</v>
      </c>
      <c r="O16" s="14" t="s">
        <v>122</v>
      </c>
      <c r="P16" s="14" t="s">
        <v>36</v>
      </c>
      <c r="Q16" s="14" t="s">
        <v>123</v>
      </c>
      <c r="R16" s="14" t="s">
        <v>49</v>
      </c>
      <c r="S16" s="14" t="s">
        <v>122</v>
      </c>
      <c r="T16" s="14">
        <f t="shared" si="1"/>
        <v>0</v>
      </c>
      <c r="U16" s="14">
        <f t="shared" si="2"/>
        <v>2</v>
      </c>
      <c r="V16" s="14">
        <f t="shared" si="3"/>
        <v>1</v>
      </c>
      <c r="W16" s="16">
        <f t="shared" si="4"/>
        <v>0.75</v>
      </c>
      <c r="X16" s="14" t="b">
        <f t="shared" si="5"/>
        <v>0</v>
      </c>
      <c r="Y16" s="17">
        <f t="shared" si="6"/>
        <v>1</v>
      </c>
    </row>
    <row r="17">
      <c r="A17" s="7" t="s">
        <v>124</v>
      </c>
      <c r="B17" s="8" t="s">
        <v>125</v>
      </c>
      <c r="C17" s="9" t="s">
        <v>126</v>
      </c>
      <c r="D17" s="9" t="s">
        <v>103</v>
      </c>
      <c r="E17" s="10" t="s">
        <v>104</v>
      </c>
      <c r="F17" s="11" t="s">
        <v>127</v>
      </c>
      <c r="G17" s="12" t="s">
        <v>31</v>
      </c>
      <c r="H17" s="12" t="s">
        <v>32</v>
      </c>
      <c r="I17" s="19" t="s">
        <v>31</v>
      </c>
      <c r="J17" s="13" t="s">
        <v>31</v>
      </c>
      <c r="K17" s="14" t="s">
        <v>33</v>
      </c>
      <c r="L17" s="14" t="s">
        <v>61</v>
      </c>
      <c r="M17" s="14" t="s">
        <v>35</v>
      </c>
      <c r="N17" s="15" t="s">
        <v>36</v>
      </c>
      <c r="O17" s="14" t="s">
        <v>105</v>
      </c>
      <c r="P17" s="14" t="s">
        <v>49</v>
      </c>
      <c r="Q17" s="14" t="s">
        <v>105</v>
      </c>
      <c r="R17" s="14" t="s">
        <v>49</v>
      </c>
      <c r="S17" s="14" t="s">
        <v>42</v>
      </c>
      <c r="T17" s="14">
        <f t="shared" si="1"/>
        <v>0</v>
      </c>
      <c r="U17" s="14">
        <f t="shared" si="2"/>
        <v>3</v>
      </c>
      <c r="V17" s="14">
        <f t="shared" si="3"/>
        <v>1</v>
      </c>
      <c r="W17" s="16">
        <f t="shared" si="4"/>
        <v>1</v>
      </c>
      <c r="X17" s="14" t="str">
        <f t="shared" si="5"/>
        <v>Offensive</v>
      </c>
      <c r="Y17" s="17">
        <f t="shared" si="6"/>
        <v>1.527525232</v>
      </c>
    </row>
    <row r="18">
      <c r="A18" s="7" t="s">
        <v>128</v>
      </c>
      <c r="B18" s="8" t="s">
        <v>129</v>
      </c>
      <c r="C18" s="9" t="s">
        <v>130</v>
      </c>
      <c r="D18" s="21"/>
      <c r="E18" s="10" t="s">
        <v>131</v>
      </c>
      <c r="F18" s="18" t="s">
        <v>44</v>
      </c>
      <c r="G18" s="22"/>
      <c r="H18" s="20"/>
      <c r="I18" s="12" t="s">
        <v>32</v>
      </c>
      <c r="J18" s="13" t="s">
        <v>45</v>
      </c>
      <c r="K18" s="14" t="s">
        <v>33</v>
      </c>
      <c r="L18" s="14" t="s">
        <v>34</v>
      </c>
      <c r="M18" s="14" t="s">
        <v>47</v>
      </c>
      <c r="N18" s="15" t="s">
        <v>48</v>
      </c>
      <c r="O18" s="14" t="s">
        <v>42</v>
      </c>
      <c r="P18" s="14" t="s">
        <v>48</v>
      </c>
      <c r="Q18" s="14" t="s">
        <v>42</v>
      </c>
      <c r="R18" s="14" t="s">
        <v>48</v>
      </c>
      <c r="S18" s="14" t="s">
        <v>42</v>
      </c>
      <c r="T18" s="14">
        <f t="shared" si="1"/>
        <v>1</v>
      </c>
      <c r="U18" s="14">
        <f t="shared" si="2"/>
        <v>0</v>
      </c>
      <c r="V18" s="14">
        <f t="shared" si="3"/>
        <v>1</v>
      </c>
      <c r="W18" s="16">
        <f t="shared" si="4"/>
        <v>0.5</v>
      </c>
      <c r="X18" s="14" t="b">
        <f t="shared" si="5"/>
        <v>0</v>
      </c>
      <c r="Y18" s="17">
        <f t="shared" si="6"/>
        <v>0.5773502692</v>
      </c>
    </row>
    <row r="19">
      <c r="A19" s="7" t="s">
        <v>132</v>
      </c>
      <c r="B19" s="8" t="s">
        <v>133</v>
      </c>
      <c r="C19" s="9" t="s">
        <v>134</v>
      </c>
      <c r="D19" s="9" t="s">
        <v>135</v>
      </c>
      <c r="E19" s="10" t="s">
        <v>136</v>
      </c>
      <c r="F19" s="11" t="s">
        <v>137</v>
      </c>
      <c r="G19" s="12" t="s">
        <v>32</v>
      </c>
      <c r="H19" s="12" t="s">
        <v>32</v>
      </c>
      <c r="I19" s="19" t="s">
        <v>32</v>
      </c>
      <c r="J19" s="13" t="s">
        <v>32</v>
      </c>
      <c r="K19" s="14" t="s">
        <v>33</v>
      </c>
      <c r="L19" s="14" t="s">
        <v>46</v>
      </c>
      <c r="M19" s="14" t="s">
        <v>35</v>
      </c>
      <c r="N19" s="15" t="s">
        <v>49</v>
      </c>
      <c r="O19" s="14" t="s">
        <v>138</v>
      </c>
      <c r="P19" s="14" t="s">
        <v>36</v>
      </c>
      <c r="Q19" s="14" t="s">
        <v>138</v>
      </c>
      <c r="R19" s="14" t="s">
        <v>36</v>
      </c>
      <c r="S19" s="14" t="s">
        <v>139</v>
      </c>
      <c r="T19" s="14">
        <f t="shared" si="1"/>
        <v>0</v>
      </c>
      <c r="U19" s="14">
        <f t="shared" si="2"/>
        <v>0</v>
      </c>
      <c r="V19" s="14">
        <f t="shared" si="3"/>
        <v>4</v>
      </c>
      <c r="W19" s="16">
        <f t="shared" si="4"/>
        <v>1</v>
      </c>
      <c r="X19" s="14" t="str">
        <f t="shared" si="5"/>
        <v>Hate Speech</v>
      </c>
      <c r="Y19" s="17">
        <f t="shared" si="6"/>
        <v>2.309401077</v>
      </c>
    </row>
    <row r="20">
      <c r="A20" s="7" t="s">
        <v>140</v>
      </c>
      <c r="B20" s="8" t="s">
        <v>141</v>
      </c>
      <c r="C20" s="9" t="s">
        <v>142</v>
      </c>
      <c r="D20" s="9" t="s">
        <v>72</v>
      </c>
      <c r="E20" s="10" t="s">
        <v>72</v>
      </c>
      <c r="F20" s="11" t="s">
        <v>73</v>
      </c>
      <c r="G20" s="12" t="s">
        <v>31</v>
      </c>
      <c r="H20" s="12" t="s">
        <v>31</v>
      </c>
      <c r="I20" s="19" t="s">
        <v>32</v>
      </c>
      <c r="J20" s="13" t="s">
        <v>32</v>
      </c>
      <c r="K20" s="14" t="s">
        <v>33</v>
      </c>
      <c r="L20" s="14" t="s">
        <v>55</v>
      </c>
      <c r="M20" s="14" t="s">
        <v>47</v>
      </c>
      <c r="N20" s="15" t="s">
        <v>49</v>
      </c>
      <c r="O20" s="14" t="s">
        <v>143</v>
      </c>
      <c r="P20" s="14" t="s">
        <v>36</v>
      </c>
      <c r="Q20" s="14" t="s">
        <v>72</v>
      </c>
      <c r="R20" s="14" t="s">
        <v>36</v>
      </c>
      <c r="S20" s="14" t="s">
        <v>105</v>
      </c>
      <c r="T20" s="14">
        <f t="shared" si="1"/>
        <v>0</v>
      </c>
      <c r="U20" s="14">
        <f t="shared" si="2"/>
        <v>2</v>
      </c>
      <c r="V20" s="14">
        <f t="shared" si="3"/>
        <v>2</v>
      </c>
      <c r="W20" s="16">
        <f t="shared" si="4"/>
        <v>1</v>
      </c>
      <c r="X20" s="14" t="b">
        <f t="shared" si="5"/>
        <v>0</v>
      </c>
      <c r="Y20" s="17">
        <f t="shared" si="6"/>
        <v>1.154700538</v>
      </c>
    </row>
    <row r="21">
      <c r="A21" s="7" t="s">
        <v>144</v>
      </c>
      <c r="B21" s="8" t="s">
        <v>145</v>
      </c>
      <c r="C21" s="9" t="s">
        <v>146</v>
      </c>
      <c r="D21" s="9" t="s">
        <v>147</v>
      </c>
      <c r="E21" s="10" t="s">
        <v>148</v>
      </c>
      <c r="F21" s="18" t="s">
        <v>44</v>
      </c>
      <c r="G21" s="12" t="s">
        <v>31</v>
      </c>
      <c r="H21" s="12" t="s">
        <v>31</v>
      </c>
      <c r="I21" s="19" t="s">
        <v>32</v>
      </c>
      <c r="J21" s="13" t="s">
        <v>45</v>
      </c>
      <c r="K21" s="14" t="s">
        <v>33</v>
      </c>
      <c r="L21" s="14" t="s">
        <v>61</v>
      </c>
      <c r="M21" s="14" t="s">
        <v>35</v>
      </c>
      <c r="N21" s="15" t="s">
        <v>36</v>
      </c>
      <c r="O21" s="14" t="s">
        <v>149</v>
      </c>
      <c r="P21" s="14" t="s">
        <v>36</v>
      </c>
      <c r="Q21" s="14" t="s">
        <v>150</v>
      </c>
      <c r="R21" s="14" t="s">
        <v>49</v>
      </c>
      <c r="S21" s="14" t="s">
        <v>151</v>
      </c>
      <c r="T21" s="14">
        <f t="shared" si="1"/>
        <v>1</v>
      </c>
      <c r="U21" s="14">
        <f t="shared" si="2"/>
        <v>2</v>
      </c>
      <c r="V21" s="14">
        <f t="shared" si="3"/>
        <v>1</v>
      </c>
      <c r="W21" s="16">
        <f t="shared" si="4"/>
        <v>1</v>
      </c>
      <c r="X21" s="14" t="b">
        <f t="shared" si="5"/>
        <v>0</v>
      </c>
      <c r="Y21" s="17">
        <f t="shared" si="6"/>
        <v>0.5773502692</v>
      </c>
    </row>
    <row r="22">
      <c r="A22" s="7" t="s">
        <v>152</v>
      </c>
      <c r="B22" s="8" t="s">
        <v>153</v>
      </c>
      <c r="C22" s="9" t="s">
        <v>154</v>
      </c>
      <c r="D22" s="9" t="s">
        <v>66</v>
      </c>
      <c r="E22" s="10" t="s">
        <v>66</v>
      </c>
      <c r="F22" s="11" t="s">
        <v>155</v>
      </c>
      <c r="G22" s="12" t="s">
        <v>31</v>
      </c>
      <c r="H22" s="12" t="s">
        <v>31</v>
      </c>
      <c r="I22" s="12" t="s">
        <v>32</v>
      </c>
      <c r="J22" s="13" t="s">
        <v>32</v>
      </c>
      <c r="K22" s="14" t="s">
        <v>33</v>
      </c>
      <c r="L22" s="14" t="s">
        <v>34</v>
      </c>
      <c r="M22" s="14" t="s">
        <v>35</v>
      </c>
      <c r="N22" s="15" t="s">
        <v>49</v>
      </c>
      <c r="O22" s="14" t="s">
        <v>116</v>
      </c>
      <c r="P22" s="14" t="s">
        <v>36</v>
      </c>
      <c r="Q22" s="14" t="s">
        <v>115</v>
      </c>
      <c r="R22" s="14" t="s">
        <v>49</v>
      </c>
      <c r="S22" s="14" t="s">
        <v>115</v>
      </c>
      <c r="T22" s="14">
        <f t="shared" si="1"/>
        <v>0</v>
      </c>
      <c r="U22" s="14">
        <f t="shared" si="2"/>
        <v>2</v>
      </c>
      <c r="V22" s="14">
        <f t="shared" si="3"/>
        <v>2</v>
      </c>
      <c r="W22" s="16">
        <f t="shared" si="4"/>
        <v>1</v>
      </c>
      <c r="X22" s="14" t="b">
        <f t="shared" si="5"/>
        <v>0</v>
      </c>
      <c r="Y22" s="17">
        <f t="shared" si="6"/>
        <v>1.154700538</v>
      </c>
    </row>
    <row r="23">
      <c r="A23" s="7" t="s">
        <v>156</v>
      </c>
      <c r="B23" s="8" t="s">
        <v>157</v>
      </c>
      <c r="C23" s="9" t="s">
        <v>158</v>
      </c>
      <c r="D23" s="9" t="s">
        <v>159</v>
      </c>
      <c r="E23" s="10" t="s">
        <v>160</v>
      </c>
      <c r="F23" s="11" t="s">
        <v>161</v>
      </c>
      <c r="G23" s="12" t="s">
        <v>162</v>
      </c>
      <c r="H23" s="12" t="s">
        <v>31</v>
      </c>
      <c r="I23" s="19" t="s">
        <v>31</v>
      </c>
      <c r="J23" s="13" t="s">
        <v>32</v>
      </c>
      <c r="K23" s="14" t="s">
        <v>33</v>
      </c>
      <c r="L23" s="14" t="s">
        <v>46</v>
      </c>
      <c r="M23" s="14" t="s">
        <v>35</v>
      </c>
      <c r="N23" s="15" t="s">
        <v>49</v>
      </c>
      <c r="O23" s="14" t="s">
        <v>163</v>
      </c>
      <c r="P23" s="14" t="s">
        <v>49</v>
      </c>
      <c r="Q23" s="14" t="s">
        <v>83</v>
      </c>
      <c r="R23" s="14" t="s">
        <v>36</v>
      </c>
      <c r="S23" s="14" t="s">
        <v>164</v>
      </c>
      <c r="T23" s="14">
        <f t="shared" si="1"/>
        <v>0</v>
      </c>
      <c r="U23" s="14">
        <f t="shared" si="2"/>
        <v>3</v>
      </c>
      <c r="V23" s="14">
        <f t="shared" si="3"/>
        <v>1</v>
      </c>
      <c r="W23" s="16">
        <f t="shared" si="4"/>
        <v>1</v>
      </c>
      <c r="X23" s="14" t="str">
        <f t="shared" si="5"/>
        <v>Offensive</v>
      </c>
      <c r="Y23" s="17">
        <f t="shared" si="6"/>
        <v>1.527525232</v>
      </c>
    </row>
    <row r="24">
      <c r="A24" s="7" t="s">
        <v>165</v>
      </c>
      <c r="B24" s="8" t="s">
        <v>166</v>
      </c>
      <c r="C24" s="9" t="s">
        <v>167</v>
      </c>
      <c r="D24" s="9" t="s">
        <v>66</v>
      </c>
      <c r="E24" s="10" t="s">
        <v>168</v>
      </c>
      <c r="F24" s="11" t="s">
        <v>155</v>
      </c>
      <c r="G24" s="12" t="s">
        <v>31</v>
      </c>
      <c r="H24" s="12" t="s">
        <v>32</v>
      </c>
      <c r="I24" s="19" t="s">
        <v>32</v>
      </c>
      <c r="J24" s="13" t="s">
        <v>32</v>
      </c>
      <c r="K24" s="14" t="s">
        <v>33</v>
      </c>
      <c r="L24" s="14" t="s">
        <v>55</v>
      </c>
      <c r="M24" s="14" t="s">
        <v>35</v>
      </c>
      <c r="N24" s="15" t="s">
        <v>36</v>
      </c>
      <c r="O24" s="14" t="s">
        <v>169</v>
      </c>
      <c r="P24" s="14" t="s">
        <v>36</v>
      </c>
      <c r="Q24" s="14" t="s">
        <v>115</v>
      </c>
      <c r="R24" s="14" t="s">
        <v>36</v>
      </c>
      <c r="S24" s="14" t="s">
        <v>115</v>
      </c>
      <c r="T24" s="14">
        <f t="shared" si="1"/>
        <v>0</v>
      </c>
      <c r="U24" s="14">
        <f t="shared" si="2"/>
        <v>1</v>
      </c>
      <c r="V24" s="14">
        <f t="shared" si="3"/>
        <v>3</v>
      </c>
      <c r="W24" s="16">
        <f t="shared" si="4"/>
        <v>1</v>
      </c>
      <c r="X24" s="14" t="str">
        <f t="shared" si="5"/>
        <v>Hate Speech</v>
      </c>
      <c r="Y24" s="17">
        <f t="shared" si="6"/>
        <v>1.527525232</v>
      </c>
    </row>
    <row r="25">
      <c r="A25" s="7" t="s">
        <v>170</v>
      </c>
      <c r="B25" s="8" t="s">
        <v>171</v>
      </c>
      <c r="C25" s="9" t="s">
        <v>172</v>
      </c>
      <c r="D25" s="9" t="s">
        <v>83</v>
      </c>
      <c r="E25" s="10" t="s">
        <v>84</v>
      </c>
      <c r="F25" s="11" t="s">
        <v>121</v>
      </c>
      <c r="G25" s="12" t="s">
        <v>31</v>
      </c>
      <c r="H25" s="12" t="s">
        <v>45</v>
      </c>
      <c r="I25" s="19" t="s">
        <v>31</v>
      </c>
      <c r="J25" s="13" t="s">
        <v>31</v>
      </c>
      <c r="K25" s="14" t="s">
        <v>33</v>
      </c>
      <c r="L25" s="14" t="s">
        <v>61</v>
      </c>
      <c r="M25" s="14" t="s">
        <v>47</v>
      </c>
      <c r="N25" s="15" t="s">
        <v>49</v>
      </c>
      <c r="O25" s="14" t="s">
        <v>83</v>
      </c>
      <c r="P25" s="14" t="s">
        <v>49</v>
      </c>
      <c r="Q25" s="14" t="s">
        <v>83</v>
      </c>
      <c r="R25" s="14" t="s">
        <v>36</v>
      </c>
      <c r="S25" s="14" t="s">
        <v>83</v>
      </c>
      <c r="T25" s="14">
        <f t="shared" si="1"/>
        <v>1</v>
      </c>
      <c r="U25" s="14">
        <f t="shared" si="2"/>
        <v>3</v>
      </c>
      <c r="V25" s="14">
        <f t="shared" si="3"/>
        <v>0</v>
      </c>
      <c r="W25" s="16">
        <f t="shared" si="4"/>
        <v>1</v>
      </c>
      <c r="X25" s="14" t="str">
        <f t="shared" si="5"/>
        <v>Offensive</v>
      </c>
      <c r="Y25" s="17">
        <f t="shared" si="6"/>
        <v>1.527525232</v>
      </c>
    </row>
    <row r="26">
      <c r="A26" s="7" t="s">
        <v>173</v>
      </c>
      <c r="B26" s="8" t="s">
        <v>174</v>
      </c>
      <c r="C26" s="9" t="s">
        <v>175</v>
      </c>
      <c r="D26" s="9" t="s">
        <v>176</v>
      </c>
      <c r="E26" s="10" t="s">
        <v>109</v>
      </c>
      <c r="F26" s="11" t="s">
        <v>110</v>
      </c>
      <c r="G26" s="12" t="s">
        <v>45</v>
      </c>
      <c r="H26" s="12" t="s">
        <v>31</v>
      </c>
      <c r="I26" s="12" t="s">
        <v>31</v>
      </c>
      <c r="J26" s="13" t="s">
        <v>31</v>
      </c>
      <c r="K26" s="14" t="s">
        <v>33</v>
      </c>
      <c r="L26" s="14" t="s">
        <v>34</v>
      </c>
      <c r="M26" s="14" t="s">
        <v>35</v>
      </c>
      <c r="N26" s="15" t="s">
        <v>49</v>
      </c>
      <c r="O26" s="14" t="s">
        <v>177</v>
      </c>
      <c r="P26" s="14" t="s">
        <v>49</v>
      </c>
      <c r="Q26" s="14" t="s">
        <v>42</v>
      </c>
      <c r="R26" s="14" t="s">
        <v>49</v>
      </c>
      <c r="S26" s="14" t="s">
        <v>42</v>
      </c>
      <c r="T26" s="14">
        <f t="shared" si="1"/>
        <v>1</v>
      </c>
      <c r="U26" s="14">
        <f t="shared" si="2"/>
        <v>3</v>
      </c>
      <c r="V26" s="14">
        <f t="shared" si="3"/>
        <v>0</v>
      </c>
      <c r="W26" s="16">
        <f t="shared" si="4"/>
        <v>1</v>
      </c>
      <c r="X26" s="14" t="str">
        <f t="shared" si="5"/>
        <v>Offensive</v>
      </c>
      <c r="Y26" s="17">
        <f t="shared" si="6"/>
        <v>1.527525232</v>
      </c>
    </row>
    <row r="27">
      <c r="A27" s="7" t="s">
        <v>178</v>
      </c>
      <c r="B27" s="8" t="s">
        <v>179</v>
      </c>
      <c r="C27" s="9" t="s">
        <v>180</v>
      </c>
      <c r="D27" s="9" t="s">
        <v>42</v>
      </c>
      <c r="E27" s="10" t="s">
        <v>181</v>
      </c>
      <c r="F27" s="11" t="s">
        <v>54</v>
      </c>
      <c r="G27" s="12" t="s">
        <v>182</v>
      </c>
      <c r="H27" s="12" t="s">
        <v>45</v>
      </c>
      <c r="I27" s="19" t="s">
        <v>31</v>
      </c>
      <c r="J27" s="13" t="s">
        <v>31</v>
      </c>
      <c r="K27" s="14" t="s">
        <v>33</v>
      </c>
      <c r="L27" s="14" t="s">
        <v>46</v>
      </c>
      <c r="M27" s="14" t="s">
        <v>47</v>
      </c>
      <c r="N27" s="15" t="s">
        <v>49</v>
      </c>
      <c r="O27" s="14" t="s">
        <v>37</v>
      </c>
      <c r="P27" s="14" t="s">
        <v>48</v>
      </c>
      <c r="Q27" s="14" t="s">
        <v>183</v>
      </c>
      <c r="R27" s="14" t="s">
        <v>49</v>
      </c>
      <c r="S27" s="14" t="s">
        <v>37</v>
      </c>
      <c r="T27" s="14">
        <f t="shared" si="1"/>
        <v>2</v>
      </c>
      <c r="U27" s="14">
        <f t="shared" si="2"/>
        <v>2</v>
      </c>
      <c r="V27" s="14">
        <f t="shared" si="3"/>
        <v>0</v>
      </c>
      <c r="W27" s="16">
        <f t="shared" si="4"/>
        <v>1</v>
      </c>
      <c r="X27" s="14" t="b">
        <f t="shared" si="5"/>
        <v>0</v>
      </c>
      <c r="Y27" s="17">
        <f t="shared" si="6"/>
        <v>1.154700538</v>
      </c>
    </row>
    <row r="28">
      <c r="A28" s="7" t="s">
        <v>184</v>
      </c>
      <c r="B28" s="8" t="s">
        <v>185</v>
      </c>
      <c r="C28" s="9" t="s">
        <v>186</v>
      </c>
      <c r="D28" s="9" t="s">
        <v>187</v>
      </c>
      <c r="E28" s="10" t="s">
        <v>188</v>
      </c>
      <c r="F28" s="11" t="s">
        <v>189</v>
      </c>
      <c r="G28" s="12" t="s">
        <v>31</v>
      </c>
      <c r="H28" s="12" t="s">
        <v>31</v>
      </c>
      <c r="I28" s="19" t="s">
        <v>32</v>
      </c>
      <c r="J28" s="13" t="s">
        <v>32</v>
      </c>
      <c r="K28" s="14" t="s">
        <v>33</v>
      </c>
      <c r="L28" s="14" t="s">
        <v>55</v>
      </c>
      <c r="M28" s="14" t="s">
        <v>35</v>
      </c>
      <c r="N28" s="15" t="s">
        <v>36</v>
      </c>
      <c r="O28" s="14" t="s">
        <v>190</v>
      </c>
      <c r="P28" s="14" t="s">
        <v>36</v>
      </c>
      <c r="Q28" s="14" t="s">
        <v>191</v>
      </c>
      <c r="R28" s="14" t="s">
        <v>36</v>
      </c>
      <c r="S28" s="14" t="s">
        <v>190</v>
      </c>
      <c r="T28" s="14">
        <f t="shared" si="1"/>
        <v>0</v>
      </c>
      <c r="U28" s="14">
        <f t="shared" si="2"/>
        <v>2</v>
      </c>
      <c r="V28" s="14">
        <f t="shared" si="3"/>
        <v>2</v>
      </c>
      <c r="W28" s="16">
        <f t="shared" si="4"/>
        <v>1</v>
      </c>
      <c r="X28" s="14" t="b">
        <f t="shared" si="5"/>
        <v>0</v>
      </c>
      <c r="Y28" s="17">
        <f t="shared" si="6"/>
        <v>1.154700538</v>
      </c>
    </row>
    <row r="29">
      <c r="A29" s="7" t="s">
        <v>192</v>
      </c>
      <c r="B29" s="8" t="s">
        <v>193</v>
      </c>
      <c r="C29" s="9" t="s">
        <v>194</v>
      </c>
      <c r="D29" s="9" t="s">
        <v>195</v>
      </c>
      <c r="E29" s="10" t="s">
        <v>196</v>
      </c>
      <c r="F29" s="18" t="s">
        <v>44</v>
      </c>
      <c r="G29" s="12" t="s">
        <v>45</v>
      </c>
      <c r="H29" s="12" t="s">
        <v>31</v>
      </c>
      <c r="I29" s="19" t="s">
        <v>32</v>
      </c>
      <c r="J29" s="13" t="s">
        <v>45</v>
      </c>
      <c r="K29" s="14" t="s">
        <v>33</v>
      </c>
      <c r="L29" s="14" t="s">
        <v>61</v>
      </c>
      <c r="M29" s="14" t="s">
        <v>47</v>
      </c>
      <c r="N29" s="15" t="s">
        <v>48</v>
      </c>
      <c r="O29" s="14" t="s">
        <v>42</v>
      </c>
      <c r="P29" s="14" t="s">
        <v>48</v>
      </c>
      <c r="Q29" s="14" t="s">
        <v>191</v>
      </c>
      <c r="R29" s="14" t="s">
        <v>48</v>
      </c>
      <c r="S29" s="14" t="s">
        <v>42</v>
      </c>
      <c r="T29" s="14">
        <f t="shared" si="1"/>
        <v>2</v>
      </c>
      <c r="U29" s="14">
        <f t="shared" si="2"/>
        <v>1</v>
      </c>
      <c r="V29" s="14">
        <f t="shared" si="3"/>
        <v>1</v>
      </c>
      <c r="W29" s="16">
        <f t="shared" si="4"/>
        <v>1</v>
      </c>
      <c r="X29" s="14" t="b">
        <f t="shared" si="5"/>
        <v>0</v>
      </c>
      <c r="Y29" s="17">
        <f t="shared" si="6"/>
        <v>0.5773502692</v>
      </c>
    </row>
    <row r="30">
      <c r="A30" s="7" t="s">
        <v>197</v>
      </c>
      <c r="B30" s="8" t="s">
        <v>198</v>
      </c>
      <c r="C30" s="9" t="s">
        <v>199</v>
      </c>
      <c r="D30" s="9" t="s">
        <v>66</v>
      </c>
      <c r="E30" s="10" t="s">
        <v>200</v>
      </c>
      <c r="F30" s="11" t="s">
        <v>155</v>
      </c>
      <c r="G30" s="12" t="s">
        <v>31</v>
      </c>
      <c r="H30" s="12" t="s">
        <v>31</v>
      </c>
      <c r="I30" s="12" t="s">
        <v>32</v>
      </c>
      <c r="J30" s="13" t="s">
        <v>32</v>
      </c>
      <c r="K30" s="14" t="s">
        <v>33</v>
      </c>
      <c r="L30" s="14" t="s">
        <v>34</v>
      </c>
      <c r="M30" s="14" t="s">
        <v>47</v>
      </c>
      <c r="N30" s="15" t="s">
        <v>49</v>
      </c>
      <c r="O30" s="14" t="s">
        <v>201</v>
      </c>
      <c r="P30" s="14" t="s">
        <v>36</v>
      </c>
      <c r="Q30" s="14" t="s">
        <v>201</v>
      </c>
      <c r="R30" s="14" t="s">
        <v>49</v>
      </c>
      <c r="S30" s="14" t="s">
        <v>202</v>
      </c>
      <c r="T30" s="14">
        <f t="shared" si="1"/>
        <v>0</v>
      </c>
      <c r="U30" s="14">
        <f t="shared" si="2"/>
        <v>2</v>
      </c>
      <c r="V30" s="14">
        <f t="shared" si="3"/>
        <v>2</v>
      </c>
      <c r="W30" s="16">
        <f t="shared" si="4"/>
        <v>1</v>
      </c>
      <c r="X30" s="14" t="b">
        <f t="shared" si="5"/>
        <v>0</v>
      </c>
      <c r="Y30" s="17">
        <f t="shared" si="6"/>
        <v>1.154700538</v>
      </c>
    </row>
    <row r="31">
      <c r="A31" s="7" t="s">
        <v>203</v>
      </c>
      <c r="B31" s="8" t="s">
        <v>204</v>
      </c>
      <c r="C31" s="9" t="s">
        <v>205</v>
      </c>
      <c r="D31" s="9" t="s">
        <v>66</v>
      </c>
      <c r="E31" s="10" t="s">
        <v>114</v>
      </c>
      <c r="F31" s="11" t="s">
        <v>206</v>
      </c>
      <c r="G31" s="12" t="s">
        <v>45</v>
      </c>
      <c r="H31" s="12" t="s">
        <v>31</v>
      </c>
      <c r="I31" s="19" t="s">
        <v>32</v>
      </c>
      <c r="J31" s="13" t="s">
        <v>32</v>
      </c>
      <c r="K31" s="14" t="s">
        <v>33</v>
      </c>
      <c r="L31" s="14" t="s">
        <v>46</v>
      </c>
      <c r="M31" s="14" t="s">
        <v>35</v>
      </c>
      <c r="N31" s="15" t="s">
        <v>36</v>
      </c>
      <c r="O31" s="14" t="s">
        <v>201</v>
      </c>
      <c r="P31" s="14" t="s">
        <v>36</v>
      </c>
      <c r="Q31" s="14" t="s">
        <v>115</v>
      </c>
      <c r="R31" s="14" t="s">
        <v>36</v>
      </c>
      <c r="S31" s="14" t="s">
        <v>115</v>
      </c>
      <c r="T31" s="14">
        <f t="shared" si="1"/>
        <v>1</v>
      </c>
      <c r="U31" s="14">
        <f t="shared" si="2"/>
        <v>1</v>
      </c>
      <c r="V31" s="14">
        <f t="shared" si="3"/>
        <v>2</v>
      </c>
      <c r="W31" s="16">
        <f t="shared" si="4"/>
        <v>1</v>
      </c>
      <c r="X31" s="14" t="b">
        <f t="shared" si="5"/>
        <v>0</v>
      </c>
      <c r="Y31" s="17">
        <f t="shared" si="6"/>
        <v>0.5773502692</v>
      </c>
    </row>
    <row r="32">
      <c r="A32" s="7" t="s">
        <v>207</v>
      </c>
      <c r="B32" s="8" t="s">
        <v>208</v>
      </c>
      <c r="C32" s="9" t="s">
        <v>209</v>
      </c>
      <c r="D32" s="9" t="s">
        <v>210</v>
      </c>
      <c r="E32" s="10" t="s">
        <v>211</v>
      </c>
      <c r="F32" s="11" t="s">
        <v>212</v>
      </c>
      <c r="G32" s="12" t="s">
        <v>31</v>
      </c>
      <c r="H32" s="12"/>
      <c r="I32" s="19" t="s">
        <v>32</v>
      </c>
      <c r="J32" s="13" t="s">
        <v>32</v>
      </c>
      <c r="K32" s="14" t="s">
        <v>33</v>
      </c>
      <c r="L32" s="14" t="s">
        <v>55</v>
      </c>
      <c r="M32" s="14" t="s">
        <v>35</v>
      </c>
      <c r="N32" s="15" t="s">
        <v>49</v>
      </c>
      <c r="O32" s="14" t="s">
        <v>210</v>
      </c>
      <c r="P32" s="14" t="s">
        <v>36</v>
      </c>
      <c r="Q32" s="14" t="s">
        <v>210</v>
      </c>
      <c r="R32" s="14" t="s">
        <v>36</v>
      </c>
      <c r="S32" s="14" t="s">
        <v>210</v>
      </c>
      <c r="T32" s="14">
        <f t="shared" si="1"/>
        <v>0</v>
      </c>
      <c r="U32" s="14">
        <f t="shared" si="2"/>
        <v>1</v>
      </c>
      <c r="V32" s="14">
        <f t="shared" si="3"/>
        <v>2</v>
      </c>
      <c r="W32" s="16">
        <f t="shared" si="4"/>
        <v>0.75</v>
      </c>
      <c r="X32" s="14" t="b">
        <f t="shared" si="5"/>
        <v>0</v>
      </c>
      <c r="Y32" s="17">
        <f t="shared" si="6"/>
        <v>1</v>
      </c>
    </row>
    <row r="33">
      <c r="A33" s="7" t="s">
        <v>213</v>
      </c>
      <c r="B33" s="8" t="s">
        <v>214</v>
      </c>
      <c r="C33" s="9" t="s">
        <v>215</v>
      </c>
      <c r="D33" s="9" t="s">
        <v>216</v>
      </c>
      <c r="E33" s="10" t="s">
        <v>217</v>
      </c>
      <c r="F33" s="18" t="s">
        <v>44</v>
      </c>
      <c r="G33" s="12" t="s">
        <v>45</v>
      </c>
      <c r="H33" s="12" t="s">
        <v>45</v>
      </c>
      <c r="I33" s="19" t="s">
        <v>32</v>
      </c>
      <c r="J33" s="13" t="s">
        <v>45</v>
      </c>
      <c r="K33" s="14" t="s">
        <v>33</v>
      </c>
      <c r="L33" s="14" t="s">
        <v>61</v>
      </c>
      <c r="M33" s="14" t="s">
        <v>35</v>
      </c>
      <c r="N33" s="15" t="s">
        <v>49</v>
      </c>
      <c r="O33" s="14" t="s">
        <v>72</v>
      </c>
      <c r="P33" s="14" t="s">
        <v>48</v>
      </c>
      <c r="Q33" s="14" t="s">
        <v>115</v>
      </c>
      <c r="R33" s="14" t="s">
        <v>48</v>
      </c>
      <c r="S33" s="14" t="s">
        <v>183</v>
      </c>
      <c r="T33" s="14">
        <f t="shared" si="1"/>
        <v>3</v>
      </c>
      <c r="U33" s="14">
        <f t="shared" si="2"/>
        <v>0</v>
      </c>
      <c r="V33" s="14">
        <f t="shared" si="3"/>
        <v>1</v>
      </c>
      <c r="W33" s="16">
        <f t="shared" si="4"/>
        <v>1</v>
      </c>
      <c r="X33" s="14" t="str">
        <f t="shared" si="5"/>
        <v>Normal</v>
      </c>
      <c r="Y33" s="17">
        <f t="shared" si="6"/>
        <v>1.527525232</v>
      </c>
    </row>
    <row r="34">
      <c r="A34" s="7" t="s">
        <v>218</v>
      </c>
      <c r="B34" s="8" t="s">
        <v>219</v>
      </c>
      <c r="C34" s="9" t="s">
        <v>220</v>
      </c>
      <c r="D34" s="9" t="s">
        <v>42</v>
      </c>
      <c r="E34" s="10" t="s">
        <v>221</v>
      </c>
      <c r="F34" s="18" t="s">
        <v>44</v>
      </c>
      <c r="G34" s="12" t="s">
        <v>45</v>
      </c>
      <c r="H34" s="12" t="s">
        <v>45</v>
      </c>
      <c r="I34" s="12" t="s">
        <v>32</v>
      </c>
      <c r="J34" s="13" t="s">
        <v>45</v>
      </c>
      <c r="K34" s="14" t="s">
        <v>33</v>
      </c>
      <c r="L34" s="14" t="s">
        <v>34</v>
      </c>
      <c r="M34" s="14" t="s">
        <v>47</v>
      </c>
      <c r="N34" s="15" t="s">
        <v>48</v>
      </c>
      <c r="O34" s="14" t="s">
        <v>42</v>
      </c>
      <c r="P34" s="14" t="s">
        <v>48</v>
      </c>
      <c r="Q34" s="14" t="s">
        <v>105</v>
      </c>
      <c r="R34" s="14" t="s">
        <v>49</v>
      </c>
      <c r="S34" s="14" t="s">
        <v>105</v>
      </c>
      <c r="T34" s="14">
        <f t="shared" si="1"/>
        <v>3</v>
      </c>
      <c r="U34" s="14">
        <f t="shared" si="2"/>
        <v>0</v>
      </c>
      <c r="V34" s="14">
        <f t="shared" si="3"/>
        <v>1</v>
      </c>
      <c r="W34" s="16">
        <f t="shared" si="4"/>
        <v>1</v>
      </c>
      <c r="X34" s="14" t="str">
        <f t="shared" si="5"/>
        <v>Normal</v>
      </c>
      <c r="Y34" s="17">
        <f t="shared" si="6"/>
        <v>1.527525232</v>
      </c>
    </row>
    <row r="35">
      <c r="A35" s="7" t="s">
        <v>222</v>
      </c>
      <c r="B35" s="8" t="s">
        <v>223</v>
      </c>
      <c r="C35" s="9" t="s">
        <v>224</v>
      </c>
      <c r="D35" s="9" t="s">
        <v>225</v>
      </c>
      <c r="E35" s="10" t="s">
        <v>43</v>
      </c>
      <c r="F35" s="11" t="s">
        <v>43</v>
      </c>
      <c r="G35" s="12" t="s">
        <v>45</v>
      </c>
      <c r="H35" s="12" t="s">
        <v>45</v>
      </c>
      <c r="I35" s="19" t="s">
        <v>31</v>
      </c>
      <c r="J35" s="13" t="s">
        <v>31</v>
      </c>
      <c r="K35" s="14" t="s">
        <v>33</v>
      </c>
      <c r="L35" s="14" t="s">
        <v>46</v>
      </c>
      <c r="M35" s="14" t="s">
        <v>47</v>
      </c>
      <c r="N35" s="15" t="s">
        <v>49</v>
      </c>
      <c r="O35" s="14" t="s">
        <v>43</v>
      </c>
      <c r="P35" s="14" t="s">
        <v>49</v>
      </c>
      <c r="Q35" s="14" t="s">
        <v>43</v>
      </c>
      <c r="R35" s="14" t="s">
        <v>49</v>
      </c>
      <c r="S35" s="14" t="s">
        <v>43</v>
      </c>
      <c r="T35" s="14">
        <f t="shared" si="1"/>
        <v>2</v>
      </c>
      <c r="U35" s="14">
        <f t="shared" si="2"/>
        <v>2</v>
      </c>
      <c r="V35" s="14">
        <f t="shared" si="3"/>
        <v>0</v>
      </c>
      <c r="W35" s="16">
        <f t="shared" si="4"/>
        <v>1</v>
      </c>
      <c r="X35" s="14" t="b">
        <f t="shared" si="5"/>
        <v>0</v>
      </c>
      <c r="Y35" s="17">
        <f t="shared" si="6"/>
        <v>1.154700538</v>
      </c>
    </row>
    <row r="36">
      <c r="A36" s="7" t="s">
        <v>226</v>
      </c>
      <c r="B36" s="8" t="s">
        <v>227</v>
      </c>
      <c r="C36" s="9" t="s">
        <v>228</v>
      </c>
      <c r="D36" s="9" t="s">
        <v>66</v>
      </c>
      <c r="E36" s="10" t="s">
        <v>66</v>
      </c>
      <c r="F36" s="11" t="s">
        <v>155</v>
      </c>
      <c r="G36" s="12" t="s">
        <v>45</v>
      </c>
      <c r="H36" s="12" t="s">
        <v>31</v>
      </c>
      <c r="I36" s="19" t="s">
        <v>32</v>
      </c>
      <c r="J36" s="13" t="s">
        <v>32</v>
      </c>
      <c r="K36" s="14" t="s">
        <v>33</v>
      </c>
      <c r="L36" s="14" t="s">
        <v>55</v>
      </c>
      <c r="M36" s="14" t="s">
        <v>35</v>
      </c>
      <c r="N36" s="15" t="s">
        <v>36</v>
      </c>
      <c r="O36" s="14" t="s">
        <v>115</v>
      </c>
      <c r="P36" s="14" t="s">
        <v>36</v>
      </c>
      <c r="Q36" s="14" t="s">
        <v>115</v>
      </c>
      <c r="R36" s="14" t="s">
        <v>36</v>
      </c>
      <c r="S36" s="14" t="s">
        <v>115</v>
      </c>
      <c r="T36" s="14">
        <f t="shared" si="1"/>
        <v>1</v>
      </c>
      <c r="U36" s="14">
        <f t="shared" si="2"/>
        <v>1</v>
      </c>
      <c r="V36" s="14">
        <f t="shared" si="3"/>
        <v>2</v>
      </c>
      <c r="W36" s="16">
        <f t="shared" si="4"/>
        <v>1</v>
      </c>
      <c r="X36" s="14" t="b">
        <f t="shared" si="5"/>
        <v>0</v>
      </c>
      <c r="Y36" s="17">
        <f t="shared" si="6"/>
        <v>0.5773502692</v>
      </c>
    </row>
    <row r="37">
      <c r="A37" s="7" t="s">
        <v>229</v>
      </c>
      <c r="B37" s="8" t="s">
        <v>230</v>
      </c>
      <c r="C37" s="9" t="s">
        <v>231</v>
      </c>
      <c r="D37" s="9" t="s">
        <v>232</v>
      </c>
      <c r="E37" s="10" t="s">
        <v>60</v>
      </c>
      <c r="F37" s="11" t="s">
        <v>233</v>
      </c>
      <c r="G37" s="12" t="s">
        <v>45</v>
      </c>
      <c r="H37" s="12" t="s">
        <v>45</v>
      </c>
      <c r="I37" s="19" t="s">
        <v>32</v>
      </c>
      <c r="J37" s="13" t="s">
        <v>31</v>
      </c>
      <c r="K37" s="14" t="s">
        <v>33</v>
      </c>
      <c r="L37" s="14" t="s">
        <v>61</v>
      </c>
      <c r="M37" s="14" t="s">
        <v>47</v>
      </c>
      <c r="N37" s="15" t="s">
        <v>36</v>
      </c>
      <c r="O37" s="14" t="s">
        <v>62</v>
      </c>
      <c r="P37" s="14" t="s">
        <v>48</v>
      </c>
      <c r="Q37" s="14" t="s">
        <v>42</v>
      </c>
      <c r="R37" s="14" t="s">
        <v>36</v>
      </c>
      <c r="S37" s="14" t="s">
        <v>62</v>
      </c>
      <c r="T37" s="14">
        <f t="shared" si="1"/>
        <v>2</v>
      </c>
      <c r="U37" s="14">
        <f t="shared" si="2"/>
        <v>1</v>
      </c>
      <c r="V37" s="14">
        <f t="shared" si="3"/>
        <v>1</v>
      </c>
      <c r="W37" s="16">
        <f t="shared" si="4"/>
        <v>1</v>
      </c>
      <c r="X37" s="14" t="b">
        <f t="shared" si="5"/>
        <v>0</v>
      </c>
      <c r="Y37" s="17">
        <f t="shared" si="6"/>
        <v>0.5773502692</v>
      </c>
    </row>
    <row r="38">
      <c r="A38" s="7" t="s">
        <v>234</v>
      </c>
      <c r="B38" s="8" t="s">
        <v>235</v>
      </c>
      <c r="C38" s="9" t="s">
        <v>236</v>
      </c>
      <c r="D38" s="23" t="s">
        <v>37</v>
      </c>
      <c r="E38" s="10" t="s">
        <v>53</v>
      </c>
      <c r="F38" s="18" t="s">
        <v>44</v>
      </c>
      <c r="G38" s="12" t="s">
        <v>45</v>
      </c>
      <c r="H38" s="12" t="s">
        <v>31</v>
      </c>
      <c r="I38" s="12" t="s">
        <v>31</v>
      </c>
      <c r="J38" s="13" t="s">
        <v>45</v>
      </c>
      <c r="K38" s="14" t="s">
        <v>33</v>
      </c>
      <c r="L38" s="14" t="s">
        <v>34</v>
      </c>
      <c r="M38" s="14" t="s">
        <v>47</v>
      </c>
      <c r="N38" s="15" t="s">
        <v>49</v>
      </c>
      <c r="O38" s="14" t="s">
        <v>105</v>
      </c>
      <c r="P38" s="14" t="s">
        <v>49</v>
      </c>
      <c r="Q38" s="14" t="s">
        <v>42</v>
      </c>
      <c r="R38" s="14" t="s">
        <v>48</v>
      </c>
      <c r="S38" s="14" t="s">
        <v>105</v>
      </c>
      <c r="T38" s="14">
        <f t="shared" si="1"/>
        <v>2</v>
      </c>
      <c r="U38" s="14">
        <f t="shared" si="2"/>
        <v>2</v>
      </c>
      <c r="V38" s="14">
        <f t="shared" si="3"/>
        <v>0</v>
      </c>
      <c r="W38" s="16">
        <f t="shared" si="4"/>
        <v>1</v>
      </c>
      <c r="X38" s="14" t="b">
        <f t="shared" si="5"/>
        <v>0</v>
      </c>
      <c r="Y38" s="17">
        <f t="shared" si="6"/>
        <v>1.154700538</v>
      </c>
    </row>
    <row r="39">
      <c r="A39" s="7" t="s">
        <v>237</v>
      </c>
      <c r="B39" s="8" t="s">
        <v>238</v>
      </c>
      <c r="C39" s="9" t="s">
        <v>239</v>
      </c>
      <c r="D39" s="9" t="s">
        <v>42</v>
      </c>
      <c r="E39" s="10" t="s">
        <v>54</v>
      </c>
      <c r="F39" s="11" t="s">
        <v>54</v>
      </c>
      <c r="G39" s="12" t="s">
        <v>31</v>
      </c>
      <c r="H39" s="12" t="s">
        <v>45</v>
      </c>
      <c r="I39" s="19" t="s">
        <v>32</v>
      </c>
      <c r="J39" s="13" t="s">
        <v>32</v>
      </c>
      <c r="K39" s="14" t="s">
        <v>33</v>
      </c>
      <c r="L39" s="14" t="s">
        <v>46</v>
      </c>
      <c r="M39" s="14" t="s">
        <v>35</v>
      </c>
      <c r="N39" s="15" t="s">
        <v>36</v>
      </c>
      <c r="O39" s="14" t="s">
        <v>95</v>
      </c>
      <c r="P39" s="14" t="s">
        <v>49</v>
      </c>
      <c r="Q39" s="14" t="s">
        <v>37</v>
      </c>
      <c r="R39" s="14" t="s">
        <v>36</v>
      </c>
      <c r="S39" s="14" t="s">
        <v>37</v>
      </c>
      <c r="T39" s="14">
        <f t="shared" si="1"/>
        <v>1</v>
      </c>
      <c r="U39" s="14">
        <f t="shared" si="2"/>
        <v>1</v>
      </c>
      <c r="V39" s="14">
        <f t="shared" si="3"/>
        <v>2</v>
      </c>
      <c r="W39" s="16">
        <f t="shared" si="4"/>
        <v>1</v>
      </c>
      <c r="X39" s="14" t="b">
        <f t="shared" si="5"/>
        <v>0</v>
      </c>
      <c r="Y39" s="17">
        <f t="shared" si="6"/>
        <v>0.5773502692</v>
      </c>
    </row>
    <row r="40">
      <c r="A40" s="7" t="s">
        <v>240</v>
      </c>
      <c r="B40" s="8" t="s">
        <v>241</v>
      </c>
      <c r="C40" s="9" t="s">
        <v>242</v>
      </c>
      <c r="D40" s="9" t="s">
        <v>243</v>
      </c>
      <c r="E40" s="10" t="s">
        <v>244</v>
      </c>
      <c r="F40" s="11" t="s">
        <v>245</v>
      </c>
      <c r="G40" s="12" t="s">
        <v>32</v>
      </c>
      <c r="H40" s="12" t="s">
        <v>32</v>
      </c>
      <c r="I40" s="19" t="s">
        <v>32</v>
      </c>
      <c r="J40" s="13" t="s">
        <v>32</v>
      </c>
      <c r="K40" s="14" t="s">
        <v>33</v>
      </c>
      <c r="L40" s="14" t="s">
        <v>55</v>
      </c>
      <c r="M40" s="14" t="s">
        <v>35</v>
      </c>
      <c r="N40" s="15" t="s">
        <v>36</v>
      </c>
      <c r="O40" s="14" t="s">
        <v>246</v>
      </c>
      <c r="P40" s="14" t="s">
        <v>36</v>
      </c>
      <c r="Q40" s="14" t="s">
        <v>116</v>
      </c>
      <c r="R40" s="14" t="s">
        <v>36</v>
      </c>
      <c r="S40" s="14" t="s">
        <v>243</v>
      </c>
      <c r="T40" s="14">
        <f t="shared" si="1"/>
        <v>0</v>
      </c>
      <c r="U40" s="14">
        <f t="shared" si="2"/>
        <v>0</v>
      </c>
      <c r="V40" s="14">
        <f t="shared" si="3"/>
        <v>4</v>
      </c>
      <c r="W40" s="16">
        <f t="shared" si="4"/>
        <v>1</v>
      </c>
      <c r="X40" s="14" t="str">
        <f t="shared" si="5"/>
        <v>Hate Speech</v>
      </c>
      <c r="Y40" s="17">
        <f t="shared" si="6"/>
        <v>2.309401077</v>
      </c>
    </row>
    <row r="41">
      <c r="A41" s="7" t="s">
        <v>247</v>
      </c>
      <c r="B41" s="8" t="s">
        <v>248</v>
      </c>
      <c r="C41" s="9" t="s">
        <v>249</v>
      </c>
      <c r="D41" s="9" t="s">
        <v>42</v>
      </c>
      <c r="E41" s="10" t="s">
        <v>250</v>
      </c>
      <c r="F41" s="11" t="s">
        <v>251</v>
      </c>
      <c r="G41" s="12" t="s">
        <v>45</v>
      </c>
      <c r="H41" s="12" t="s">
        <v>45</v>
      </c>
      <c r="I41" s="19" t="s">
        <v>31</v>
      </c>
      <c r="J41" s="13" t="s">
        <v>31</v>
      </c>
      <c r="K41" s="14" t="s">
        <v>33</v>
      </c>
      <c r="L41" s="14" t="s">
        <v>61</v>
      </c>
      <c r="M41" s="14" t="s">
        <v>47</v>
      </c>
      <c r="N41" s="15" t="s">
        <v>48</v>
      </c>
      <c r="O41" s="14" t="s">
        <v>42</v>
      </c>
      <c r="P41" s="14" t="s">
        <v>48</v>
      </c>
      <c r="Q41" s="14" t="s">
        <v>42</v>
      </c>
      <c r="R41" s="14" t="s">
        <v>48</v>
      </c>
      <c r="S41" s="14" t="s">
        <v>42</v>
      </c>
      <c r="T41" s="14">
        <f t="shared" si="1"/>
        <v>2</v>
      </c>
      <c r="U41" s="14">
        <f t="shared" si="2"/>
        <v>2</v>
      </c>
      <c r="V41" s="14">
        <f t="shared" si="3"/>
        <v>0</v>
      </c>
      <c r="W41" s="16">
        <f t="shared" si="4"/>
        <v>1</v>
      </c>
      <c r="X41" s="14" t="b">
        <f t="shared" si="5"/>
        <v>0</v>
      </c>
      <c r="Y41" s="17">
        <f t="shared" si="6"/>
        <v>1.154700538</v>
      </c>
    </row>
    <row r="42">
      <c r="A42" s="7" t="s">
        <v>252</v>
      </c>
      <c r="B42" s="8" t="s">
        <v>253</v>
      </c>
      <c r="C42" s="9" t="s">
        <v>254</v>
      </c>
      <c r="D42" s="9" t="s">
        <v>42</v>
      </c>
      <c r="E42" s="10" t="s">
        <v>109</v>
      </c>
      <c r="F42" s="11" t="s">
        <v>110</v>
      </c>
      <c r="G42" s="12" t="s">
        <v>45</v>
      </c>
      <c r="H42" s="12" t="s">
        <v>45</v>
      </c>
      <c r="I42" s="12" t="s">
        <v>31</v>
      </c>
      <c r="J42" s="13" t="s">
        <v>31</v>
      </c>
      <c r="K42" s="14" t="s">
        <v>33</v>
      </c>
      <c r="L42" s="14" t="s">
        <v>34</v>
      </c>
      <c r="M42" s="14" t="s">
        <v>47</v>
      </c>
      <c r="N42" s="15" t="s">
        <v>48</v>
      </c>
      <c r="O42" s="14" t="s">
        <v>105</v>
      </c>
      <c r="P42" s="14" t="s">
        <v>48</v>
      </c>
      <c r="Q42" s="14" t="s">
        <v>42</v>
      </c>
      <c r="R42" s="14" t="s">
        <v>36</v>
      </c>
      <c r="S42" s="14" t="s">
        <v>109</v>
      </c>
      <c r="T42" s="14">
        <f t="shared" si="1"/>
        <v>2</v>
      </c>
      <c r="U42" s="14">
        <f t="shared" si="2"/>
        <v>2</v>
      </c>
      <c r="V42" s="14">
        <f t="shared" si="3"/>
        <v>0</v>
      </c>
      <c r="W42" s="16">
        <f t="shared" si="4"/>
        <v>1</v>
      </c>
      <c r="X42" s="14" t="b">
        <f t="shared" si="5"/>
        <v>0</v>
      </c>
      <c r="Y42" s="17">
        <f t="shared" si="6"/>
        <v>1.154700538</v>
      </c>
    </row>
    <row r="43">
      <c r="A43" s="7" t="s">
        <v>255</v>
      </c>
      <c r="B43" s="8" t="s">
        <v>256</v>
      </c>
      <c r="C43" s="9" t="s">
        <v>257</v>
      </c>
      <c r="D43" s="9" t="s">
        <v>66</v>
      </c>
      <c r="E43" s="10" t="s">
        <v>114</v>
      </c>
      <c r="F43" s="11" t="s">
        <v>155</v>
      </c>
      <c r="G43" s="12" t="s">
        <v>31</v>
      </c>
      <c r="H43" s="12" t="s">
        <v>31</v>
      </c>
      <c r="I43" s="19" t="s">
        <v>32</v>
      </c>
      <c r="J43" s="13" t="s">
        <v>32</v>
      </c>
      <c r="K43" s="14" t="s">
        <v>33</v>
      </c>
      <c r="L43" s="14" t="s">
        <v>46</v>
      </c>
      <c r="M43" s="14" t="s">
        <v>35</v>
      </c>
      <c r="N43" s="15" t="s">
        <v>48</v>
      </c>
      <c r="O43" s="14" t="s">
        <v>42</v>
      </c>
      <c r="P43" s="14" t="s">
        <v>36</v>
      </c>
      <c r="Q43" s="14" t="s">
        <v>258</v>
      </c>
      <c r="R43" s="14" t="s">
        <v>36</v>
      </c>
      <c r="S43" s="14" t="s">
        <v>259</v>
      </c>
      <c r="T43" s="14">
        <f t="shared" si="1"/>
        <v>0</v>
      </c>
      <c r="U43" s="14">
        <f t="shared" si="2"/>
        <v>2</v>
      </c>
      <c r="V43" s="14">
        <f t="shared" si="3"/>
        <v>2</v>
      </c>
      <c r="W43" s="16">
        <f t="shared" si="4"/>
        <v>1</v>
      </c>
      <c r="X43" s="14" t="b">
        <f t="shared" si="5"/>
        <v>0</v>
      </c>
      <c r="Y43" s="17">
        <f t="shared" si="6"/>
        <v>1.154700538</v>
      </c>
    </row>
    <row r="44">
      <c r="A44" s="7" t="s">
        <v>260</v>
      </c>
      <c r="B44" s="8" t="s">
        <v>261</v>
      </c>
      <c r="C44" s="9" t="s">
        <v>262</v>
      </c>
      <c r="D44" s="9" t="s">
        <v>263</v>
      </c>
      <c r="E44" s="10" t="s">
        <v>264</v>
      </c>
      <c r="F44" s="11" t="s">
        <v>265</v>
      </c>
      <c r="G44" s="12" t="s">
        <v>31</v>
      </c>
      <c r="H44" s="12" t="s">
        <v>32</v>
      </c>
      <c r="I44" s="19" t="s">
        <v>32</v>
      </c>
      <c r="J44" s="13" t="s">
        <v>32</v>
      </c>
      <c r="K44" s="14" t="s">
        <v>33</v>
      </c>
      <c r="L44" s="14" t="s">
        <v>55</v>
      </c>
      <c r="M44" s="14" t="s">
        <v>47</v>
      </c>
      <c r="N44" s="15" t="s">
        <v>36</v>
      </c>
      <c r="O44" s="14" t="s">
        <v>191</v>
      </c>
      <c r="P44" s="14" t="s">
        <v>36</v>
      </c>
      <c r="Q44" s="14" t="s">
        <v>37</v>
      </c>
      <c r="R44" s="14" t="s">
        <v>36</v>
      </c>
      <c r="S44" s="14" t="s">
        <v>191</v>
      </c>
      <c r="T44" s="14">
        <f t="shared" si="1"/>
        <v>0</v>
      </c>
      <c r="U44" s="14">
        <f t="shared" si="2"/>
        <v>1</v>
      </c>
      <c r="V44" s="14">
        <f t="shared" si="3"/>
        <v>3</v>
      </c>
      <c r="W44" s="16">
        <f t="shared" si="4"/>
        <v>1</v>
      </c>
      <c r="X44" s="14" t="str">
        <f t="shared" si="5"/>
        <v>Hate Speech</v>
      </c>
      <c r="Y44" s="17">
        <f t="shared" si="6"/>
        <v>1.527525232</v>
      </c>
    </row>
    <row r="45">
      <c r="A45" s="7" t="s">
        <v>266</v>
      </c>
      <c r="B45" s="8" t="s">
        <v>267</v>
      </c>
      <c r="C45" s="9" t="s">
        <v>268</v>
      </c>
      <c r="D45" s="9" t="s">
        <v>66</v>
      </c>
      <c r="E45" s="10" t="s">
        <v>269</v>
      </c>
      <c r="F45" s="11" t="s">
        <v>155</v>
      </c>
      <c r="G45" s="12" t="s">
        <v>45</v>
      </c>
      <c r="H45" s="12" t="s">
        <v>45</v>
      </c>
      <c r="I45" s="19" t="s">
        <v>32</v>
      </c>
      <c r="J45" s="13" t="s">
        <v>32</v>
      </c>
      <c r="K45" s="14" t="s">
        <v>33</v>
      </c>
      <c r="L45" s="14" t="s">
        <v>61</v>
      </c>
      <c r="M45" s="14" t="s">
        <v>47</v>
      </c>
      <c r="N45" s="15" t="s">
        <v>36</v>
      </c>
      <c r="O45" s="14" t="s">
        <v>115</v>
      </c>
      <c r="P45" s="14" t="s">
        <v>49</v>
      </c>
      <c r="Q45" s="14" t="s">
        <v>270</v>
      </c>
      <c r="R45" s="14" t="s">
        <v>49</v>
      </c>
      <c r="S45" s="14" t="s">
        <v>115</v>
      </c>
      <c r="T45" s="14">
        <f t="shared" si="1"/>
        <v>2</v>
      </c>
      <c r="U45" s="14">
        <f t="shared" si="2"/>
        <v>0</v>
      </c>
      <c r="V45" s="14">
        <f t="shared" si="3"/>
        <v>2</v>
      </c>
      <c r="W45" s="16">
        <f t="shared" si="4"/>
        <v>1</v>
      </c>
      <c r="X45" s="14" t="b">
        <f t="shared" si="5"/>
        <v>0</v>
      </c>
      <c r="Y45" s="17">
        <f t="shared" si="6"/>
        <v>1.154700538</v>
      </c>
    </row>
    <row r="46">
      <c r="A46" s="7" t="s">
        <v>271</v>
      </c>
      <c r="B46" s="8" t="s">
        <v>272</v>
      </c>
      <c r="C46" s="9" t="s">
        <v>273</v>
      </c>
      <c r="D46" s="9" t="s">
        <v>274</v>
      </c>
      <c r="E46" s="10" t="s">
        <v>78</v>
      </c>
      <c r="F46" s="18" t="s">
        <v>44</v>
      </c>
      <c r="G46" s="12" t="s">
        <v>31</v>
      </c>
      <c r="H46" s="12" t="s">
        <v>31</v>
      </c>
      <c r="I46" s="12" t="s">
        <v>31</v>
      </c>
      <c r="J46" s="13" t="s">
        <v>45</v>
      </c>
      <c r="K46" s="14" t="s">
        <v>33</v>
      </c>
      <c r="L46" s="14" t="s">
        <v>34</v>
      </c>
      <c r="M46" s="14" t="s">
        <v>35</v>
      </c>
      <c r="N46" s="15" t="s">
        <v>36</v>
      </c>
      <c r="O46" s="14" t="s">
        <v>77</v>
      </c>
      <c r="P46" s="14" t="s">
        <v>36</v>
      </c>
      <c r="Q46" s="14" t="s">
        <v>77</v>
      </c>
      <c r="R46" s="14" t="s">
        <v>36</v>
      </c>
      <c r="S46" s="14" t="s">
        <v>77</v>
      </c>
      <c r="T46" s="14">
        <f t="shared" si="1"/>
        <v>1</v>
      </c>
      <c r="U46" s="14">
        <f t="shared" si="2"/>
        <v>3</v>
      </c>
      <c r="V46" s="14">
        <f t="shared" si="3"/>
        <v>0</v>
      </c>
      <c r="W46" s="16">
        <f t="shared" si="4"/>
        <v>1</v>
      </c>
      <c r="X46" s="14" t="str">
        <f t="shared" si="5"/>
        <v>Offensive</v>
      </c>
      <c r="Y46" s="17">
        <f t="shared" si="6"/>
        <v>1.527525232</v>
      </c>
    </row>
    <row r="47">
      <c r="A47" s="7" t="s">
        <v>275</v>
      </c>
      <c r="B47" s="8" t="s">
        <v>276</v>
      </c>
      <c r="C47" s="9" t="s">
        <v>277</v>
      </c>
      <c r="D47" s="9" t="s">
        <v>83</v>
      </c>
      <c r="E47" s="10" t="s">
        <v>278</v>
      </c>
      <c r="F47" s="18" t="s">
        <v>44</v>
      </c>
      <c r="G47" s="12" t="s">
        <v>45</v>
      </c>
      <c r="H47" s="12" t="s">
        <v>31</v>
      </c>
      <c r="I47" s="19" t="s">
        <v>31</v>
      </c>
      <c r="J47" s="13" t="s">
        <v>45</v>
      </c>
      <c r="K47" s="14" t="s">
        <v>33</v>
      </c>
      <c r="L47" s="14" t="s">
        <v>46</v>
      </c>
      <c r="M47" s="14" t="s">
        <v>35</v>
      </c>
      <c r="N47" s="15" t="s">
        <v>49</v>
      </c>
      <c r="O47" s="14" t="s">
        <v>279</v>
      </c>
      <c r="P47" s="14" t="s">
        <v>49</v>
      </c>
      <c r="Q47" s="14" t="s">
        <v>83</v>
      </c>
      <c r="R47" s="14" t="s">
        <v>49</v>
      </c>
      <c r="S47" s="14" t="s">
        <v>83</v>
      </c>
      <c r="T47" s="14">
        <f t="shared" si="1"/>
        <v>2</v>
      </c>
      <c r="U47" s="14">
        <f t="shared" si="2"/>
        <v>2</v>
      </c>
      <c r="V47" s="14">
        <f t="shared" si="3"/>
        <v>0</v>
      </c>
      <c r="W47" s="16">
        <f t="shared" si="4"/>
        <v>1</v>
      </c>
      <c r="X47" s="14" t="b">
        <f t="shared" si="5"/>
        <v>0</v>
      </c>
      <c r="Y47" s="17">
        <f t="shared" si="6"/>
        <v>1.154700538</v>
      </c>
    </row>
    <row r="48">
      <c r="A48" s="7" t="s">
        <v>280</v>
      </c>
      <c r="B48" s="8" t="s">
        <v>281</v>
      </c>
      <c r="C48" s="9" t="s">
        <v>282</v>
      </c>
      <c r="D48" s="9" t="s">
        <v>283</v>
      </c>
      <c r="E48" s="10" t="s">
        <v>284</v>
      </c>
      <c r="F48" s="18" t="s">
        <v>44</v>
      </c>
      <c r="G48" s="12" t="s">
        <v>45</v>
      </c>
      <c r="H48" s="12" t="s">
        <v>31</v>
      </c>
      <c r="I48" s="19" t="s">
        <v>32</v>
      </c>
      <c r="J48" s="13" t="s">
        <v>45</v>
      </c>
      <c r="K48" s="14" t="s">
        <v>33</v>
      </c>
      <c r="L48" s="14" t="s">
        <v>55</v>
      </c>
      <c r="M48" s="14" t="s">
        <v>35</v>
      </c>
      <c r="N48" s="15" t="s">
        <v>36</v>
      </c>
      <c r="O48" s="14" t="s">
        <v>283</v>
      </c>
      <c r="P48" s="14" t="s">
        <v>36</v>
      </c>
      <c r="Q48" s="14" t="s">
        <v>283</v>
      </c>
      <c r="R48" s="14" t="s">
        <v>49</v>
      </c>
      <c r="S48" s="14" t="s">
        <v>283</v>
      </c>
      <c r="T48" s="14">
        <f t="shared" si="1"/>
        <v>2</v>
      </c>
      <c r="U48" s="14">
        <f t="shared" si="2"/>
        <v>1</v>
      </c>
      <c r="V48" s="14">
        <f t="shared" si="3"/>
        <v>1</v>
      </c>
      <c r="W48" s="16">
        <f t="shared" si="4"/>
        <v>1</v>
      </c>
      <c r="X48" s="14" t="b">
        <f t="shared" si="5"/>
        <v>0</v>
      </c>
      <c r="Y48" s="17">
        <f t="shared" si="6"/>
        <v>0.5773502692</v>
      </c>
    </row>
    <row r="49">
      <c r="A49" s="7" t="s">
        <v>285</v>
      </c>
      <c r="B49" s="8" t="s">
        <v>286</v>
      </c>
      <c r="C49" s="9" t="s">
        <v>287</v>
      </c>
      <c r="D49" s="9" t="s">
        <v>42</v>
      </c>
      <c r="E49" s="10" t="s">
        <v>288</v>
      </c>
      <c r="F49" s="18" t="s">
        <v>44</v>
      </c>
      <c r="G49" s="12" t="s">
        <v>45</v>
      </c>
      <c r="H49" s="12" t="s">
        <v>45</v>
      </c>
      <c r="I49" s="19" t="s">
        <v>31</v>
      </c>
      <c r="J49" s="13" t="s">
        <v>45</v>
      </c>
      <c r="K49" s="14" t="s">
        <v>33</v>
      </c>
      <c r="L49" s="14" t="s">
        <v>61</v>
      </c>
      <c r="M49" s="14" t="s">
        <v>47</v>
      </c>
      <c r="N49" s="15" t="s">
        <v>48</v>
      </c>
      <c r="O49" s="14" t="s">
        <v>42</v>
      </c>
      <c r="P49" s="14" t="s">
        <v>48</v>
      </c>
      <c r="Q49" s="14" t="s">
        <v>42</v>
      </c>
      <c r="R49" s="14" t="s">
        <v>48</v>
      </c>
      <c r="S49" s="14" t="s">
        <v>42</v>
      </c>
      <c r="T49" s="14">
        <f t="shared" si="1"/>
        <v>3</v>
      </c>
      <c r="U49" s="14">
        <f t="shared" si="2"/>
        <v>1</v>
      </c>
      <c r="V49" s="14">
        <f t="shared" si="3"/>
        <v>0</v>
      </c>
      <c r="W49" s="16">
        <f t="shared" si="4"/>
        <v>1</v>
      </c>
      <c r="X49" s="14" t="str">
        <f t="shared" si="5"/>
        <v>Normal</v>
      </c>
      <c r="Y49" s="17">
        <f t="shared" si="6"/>
        <v>1.527525232</v>
      </c>
    </row>
    <row r="50">
      <c r="A50" s="7" t="s">
        <v>289</v>
      </c>
      <c r="B50" s="8" t="s">
        <v>290</v>
      </c>
      <c r="C50" s="9" t="s">
        <v>291</v>
      </c>
      <c r="D50" s="9" t="s">
        <v>62</v>
      </c>
      <c r="E50" s="10" t="s">
        <v>292</v>
      </c>
      <c r="F50" s="11" t="s">
        <v>43</v>
      </c>
      <c r="G50" s="12" t="s">
        <v>45</v>
      </c>
      <c r="H50" s="12" t="s">
        <v>31</v>
      </c>
      <c r="I50" s="12" t="s">
        <v>31</v>
      </c>
      <c r="J50" s="13" t="s">
        <v>31</v>
      </c>
      <c r="K50" s="14" t="s">
        <v>33</v>
      </c>
      <c r="L50" s="14" t="s">
        <v>34</v>
      </c>
      <c r="M50" s="14" t="s">
        <v>47</v>
      </c>
      <c r="N50" s="15" t="s">
        <v>49</v>
      </c>
      <c r="O50" s="14" t="s">
        <v>293</v>
      </c>
      <c r="P50" s="14" t="s">
        <v>49</v>
      </c>
      <c r="Q50" s="14" t="s">
        <v>294</v>
      </c>
      <c r="R50" s="14" t="s">
        <v>36</v>
      </c>
      <c r="S50" s="14" t="s">
        <v>62</v>
      </c>
      <c r="T50" s="14">
        <f t="shared" si="1"/>
        <v>1</v>
      </c>
      <c r="U50" s="14">
        <f t="shared" si="2"/>
        <v>3</v>
      </c>
      <c r="V50" s="14">
        <f t="shared" si="3"/>
        <v>0</v>
      </c>
      <c r="W50" s="16">
        <f t="shared" si="4"/>
        <v>1</v>
      </c>
      <c r="X50" s="14" t="str">
        <f t="shared" si="5"/>
        <v>Offensive</v>
      </c>
      <c r="Y50" s="17">
        <f t="shared" si="6"/>
        <v>1.527525232</v>
      </c>
    </row>
    <row r="51">
      <c r="A51" s="7" t="s">
        <v>295</v>
      </c>
      <c r="B51" s="8" t="s">
        <v>296</v>
      </c>
      <c r="C51" s="9" t="s">
        <v>297</v>
      </c>
      <c r="D51" s="9" t="s">
        <v>37</v>
      </c>
      <c r="E51" s="10" t="s">
        <v>54</v>
      </c>
      <c r="F51" s="11" t="s">
        <v>54</v>
      </c>
      <c r="G51" s="12" t="s">
        <v>31</v>
      </c>
      <c r="H51" s="12" t="s">
        <v>31</v>
      </c>
      <c r="I51" s="19" t="s">
        <v>32</v>
      </c>
      <c r="J51" s="13" t="s">
        <v>32</v>
      </c>
      <c r="K51" s="14" t="s">
        <v>33</v>
      </c>
      <c r="L51" s="14" t="s">
        <v>46</v>
      </c>
      <c r="M51" s="14" t="s">
        <v>35</v>
      </c>
      <c r="N51" s="15" t="s">
        <v>48</v>
      </c>
      <c r="O51" s="14" t="s">
        <v>42</v>
      </c>
      <c r="P51" s="14" t="s">
        <v>36</v>
      </c>
      <c r="Q51" s="14" t="s">
        <v>37</v>
      </c>
      <c r="R51" s="14" t="s">
        <v>48</v>
      </c>
      <c r="S51" s="14" t="s">
        <v>42</v>
      </c>
      <c r="T51" s="14">
        <f t="shared" si="1"/>
        <v>0</v>
      </c>
      <c r="U51" s="14">
        <f t="shared" si="2"/>
        <v>2</v>
      </c>
      <c r="V51" s="14">
        <f t="shared" si="3"/>
        <v>2</v>
      </c>
      <c r="W51" s="16">
        <f t="shared" si="4"/>
        <v>1</v>
      </c>
      <c r="X51" s="14" t="b">
        <f t="shared" si="5"/>
        <v>0</v>
      </c>
      <c r="Y51" s="17">
        <f t="shared" si="6"/>
        <v>1.154700538</v>
      </c>
    </row>
    <row r="52">
      <c r="A52" s="7" t="s">
        <v>298</v>
      </c>
      <c r="B52" s="8" t="s">
        <v>299</v>
      </c>
      <c r="C52" s="9" t="s">
        <v>300</v>
      </c>
      <c r="D52" s="9" t="s">
        <v>42</v>
      </c>
      <c r="E52" s="10" t="s">
        <v>225</v>
      </c>
      <c r="F52" s="18" t="s">
        <v>44</v>
      </c>
      <c r="G52" s="12" t="s">
        <v>45</v>
      </c>
      <c r="H52" s="12" t="s">
        <v>45</v>
      </c>
      <c r="I52" s="19" t="s">
        <v>31</v>
      </c>
      <c r="J52" s="13" t="s">
        <v>45</v>
      </c>
      <c r="K52" s="14" t="s">
        <v>33</v>
      </c>
      <c r="L52" s="14" t="s">
        <v>55</v>
      </c>
      <c r="M52" s="14" t="s">
        <v>47</v>
      </c>
      <c r="N52" s="15" t="s">
        <v>48</v>
      </c>
      <c r="O52" s="14" t="s">
        <v>42</v>
      </c>
      <c r="P52" s="14" t="s">
        <v>48</v>
      </c>
      <c r="Q52" s="14" t="s">
        <v>42</v>
      </c>
      <c r="R52" s="14" t="s">
        <v>49</v>
      </c>
      <c r="S52" s="14" t="s">
        <v>43</v>
      </c>
      <c r="T52" s="14">
        <f t="shared" si="1"/>
        <v>3</v>
      </c>
      <c r="U52" s="14">
        <f t="shared" si="2"/>
        <v>1</v>
      </c>
      <c r="V52" s="14">
        <f t="shared" si="3"/>
        <v>0</v>
      </c>
      <c r="W52" s="16">
        <f t="shared" si="4"/>
        <v>1</v>
      </c>
      <c r="X52" s="14" t="str">
        <f t="shared" si="5"/>
        <v>Normal</v>
      </c>
      <c r="Y52" s="17">
        <f t="shared" si="6"/>
        <v>1.527525232</v>
      </c>
    </row>
    <row r="53">
      <c r="A53" s="7" t="s">
        <v>301</v>
      </c>
      <c r="B53" s="8" t="s">
        <v>302</v>
      </c>
      <c r="C53" s="9" t="s">
        <v>303</v>
      </c>
      <c r="D53" s="9" t="s">
        <v>304</v>
      </c>
      <c r="E53" s="10" t="s">
        <v>196</v>
      </c>
      <c r="F53" s="11" t="s">
        <v>54</v>
      </c>
      <c r="G53" s="12" t="s">
        <v>31</v>
      </c>
      <c r="H53" s="12" t="s">
        <v>31</v>
      </c>
      <c r="I53" s="19" t="s">
        <v>31</v>
      </c>
      <c r="J53" s="13" t="s">
        <v>31</v>
      </c>
      <c r="K53" s="14" t="s">
        <v>33</v>
      </c>
      <c r="L53" s="14" t="s">
        <v>61</v>
      </c>
      <c r="M53" s="14" t="s">
        <v>35</v>
      </c>
      <c r="N53" s="15" t="s">
        <v>36</v>
      </c>
      <c r="O53" s="14" t="s">
        <v>37</v>
      </c>
      <c r="P53" s="14" t="s">
        <v>36</v>
      </c>
      <c r="Q53" s="14" t="s">
        <v>37</v>
      </c>
      <c r="R53" s="14" t="s">
        <v>49</v>
      </c>
      <c r="S53" s="14" t="s">
        <v>37</v>
      </c>
      <c r="T53" s="14">
        <f t="shared" si="1"/>
        <v>0</v>
      </c>
      <c r="U53" s="14">
        <f t="shared" si="2"/>
        <v>4</v>
      </c>
      <c r="V53" s="14">
        <f t="shared" si="3"/>
        <v>0</v>
      </c>
      <c r="W53" s="16">
        <f t="shared" si="4"/>
        <v>1</v>
      </c>
      <c r="X53" s="14" t="str">
        <f t="shared" si="5"/>
        <v>Offensive</v>
      </c>
      <c r="Y53" s="17">
        <f t="shared" si="6"/>
        <v>2.309401077</v>
      </c>
    </row>
    <row r="54">
      <c r="A54" s="7" t="s">
        <v>305</v>
      </c>
      <c r="B54" s="8" t="s">
        <v>306</v>
      </c>
      <c r="C54" s="9" t="s">
        <v>307</v>
      </c>
      <c r="D54" s="9" t="s">
        <v>42</v>
      </c>
      <c r="E54" s="10" t="s">
        <v>88</v>
      </c>
      <c r="F54" s="18" t="s">
        <v>44</v>
      </c>
      <c r="G54" s="12" t="s">
        <v>45</v>
      </c>
      <c r="H54" s="12" t="s">
        <v>45</v>
      </c>
      <c r="I54" s="12" t="s">
        <v>31</v>
      </c>
      <c r="J54" s="13" t="s">
        <v>45</v>
      </c>
      <c r="K54" s="14" t="s">
        <v>33</v>
      </c>
      <c r="L54" s="14" t="s">
        <v>34</v>
      </c>
      <c r="M54" s="14" t="s">
        <v>35</v>
      </c>
      <c r="N54" s="15" t="s">
        <v>48</v>
      </c>
      <c r="O54" s="14" t="s">
        <v>42</v>
      </c>
      <c r="P54" s="14" t="s">
        <v>49</v>
      </c>
      <c r="Q54" s="14" t="s">
        <v>83</v>
      </c>
      <c r="R54" s="14" t="s">
        <v>48</v>
      </c>
      <c r="S54" s="14" t="s">
        <v>42</v>
      </c>
      <c r="T54" s="14">
        <f t="shared" si="1"/>
        <v>3</v>
      </c>
      <c r="U54" s="14">
        <f t="shared" si="2"/>
        <v>1</v>
      </c>
      <c r="V54" s="14">
        <f t="shared" si="3"/>
        <v>0</v>
      </c>
      <c r="W54" s="16">
        <f t="shared" si="4"/>
        <v>1</v>
      </c>
      <c r="X54" s="14" t="str">
        <f t="shared" si="5"/>
        <v>Normal</v>
      </c>
      <c r="Y54" s="17">
        <f t="shared" si="6"/>
        <v>1.527525232</v>
      </c>
    </row>
    <row r="55">
      <c r="A55" s="7" t="s">
        <v>308</v>
      </c>
      <c r="B55" s="8" t="s">
        <v>309</v>
      </c>
      <c r="C55" s="9" t="s">
        <v>310</v>
      </c>
      <c r="D55" s="9" t="s">
        <v>42</v>
      </c>
      <c r="E55" s="10" t="s">
        <v>181</v>
      </c>
      <c r="F55" s="18" t="s">
        <v>44</v>
      </c>
      <c r="G55" s="12" t="s">
        <v>45</v>
      </c>
      <c r="H55" s="12" t="s">
        <v>45</v>
      </c>
      <c r="I55" s="19" t="s">
        <v>45</v>
      </c>
      <c r="J55" s="13" t="s">
        <v>45</v>
      </c>
      <c r="K55" s="14" t="s">
        <v>33</v>
      </c>
      <c r="L55" s="14" t="s">
        <v>46</v>
      </c>
      <c r="M55" s="14" t="s">
        <v>47</v>
      </c>
      <c r="N55" s="15" t="s">
        <v>48</v>
      </c>
      <c r="O55" s="14" t="s">
        <v>105</v>
      </c>
      <c r="P55" s="14" t="s">
        <v>48</v>
      </c>
      <c r="Q55" s="14" t="s">
        <v>42</v>
      </c>
      <c r="R55" s="14" t="s">
        <v>48</v>
      </c>
      <c r="S55" s="14" t="s">
        <v>42</v>
      </c>
      <c r="T55" s="14">
        <f t="shared" si="1"/>
        <v>4</v>
      </c>
      <c r="U55" s="14">
        <f t="shared" si="2"/>
        <v>0</v>
      </c>
      <c r="V55" s="14">
        <f t="shared" si="3"/>
        <v>0</v>
      </c>
      <c r="W55" s="16">
        <f t="shared" si="4"/>
        <v>1</v>
      </c>
      <c r="X55" s="14" t="str">
        <f t="shared" si="5"/>
        <v>Normal</v>
      </c>
      <c r="Y55" s="17">
        <f t="shared" si="6"/>
        <v>2.309401077</v>
      </c>
    </row>
    <row r="56">
      <c r="A56" s="7" t="s">
        <v>311</v>
      </c>
      <c r="B56" s="8" t="s">
        <v>312</v>
      </c>
      <c r="C56" s="9" t="s">
        <v>313</v>
      </c>
      <c r="D56" s="9" t="s">
        <v>42</v>
      </c>
      <c r="E56" s="10" t="s">
        <v>225</v>
      </c>
      <c r="F56" s="11" t="s">
        <v>43</v>
      </c>
      <c r="G56" s="12" t="s">
        <v>31</v>
      </c>
      <c r="H56" s="12" t="s">
        <v>31</v>
      </c>
      <c r="I56" s="19" t="s">
        <v>32</v>
      </c>
      <c r="J56" s="13" t="s">
        <v>31</v>
      </c>
      <c r="K56" s="14" t="s">
        <v>33</v>
      </c>
      <c r="L56" s="14" t="s">
        <v>55</v>
      </c>
      <c r="M56" s="14" t="s">
        <v>47</v>
      </c>
      <c r="N56" s="15" t="s">
        <v>48</v>
      </c>
      <c r="O56" s="14" t="s">
        <v>42</v>
      </c>
      <c r="P56" s="14" t="s">
        <v>48</v>
      </c>
      <c r="Q56" s="14" t="s">
        <v>43</v>
      </c>
      <c r="R56" s="14" t="s">
        <v>48</v>
      </c>
      <c r="S56" s="14" t="s">
        <v>42</v>
      </c>
      <c r="T56" s="14">
        <f t="shared" si="1"/>
        <v>0</v>
      </c>
      <c r="U56" s="14">
        <f t="shared" si="2"/>
        <v>3</v>
      </c>
      <c r="V56" s="14">
        <f t="shared" si="3"/>
        <v>1</v>
      </c>
      <c r="W56" s="16">
        <f t="shared" si="4"/>
        <v>1</v>
      </c>
      <c r="X56" s="14" t="str">
        <f t="shared" si="5"/>
        <v>Offensive</v>
      </c>
      <c r="Y56" s="17">
        <f t="shared" si="6"/>
        <v>1.527525232</v>
      </c>
    </row>
    <row r="57">
      <c r="A57" s="7" t="s">
        <v>314</v>
      </c>
      <c r="B57" s="8" t="s">
        <v>315</v>
      </c>
      <c r="C57" s="9" t="s">
        <v>316</v>
      </c>
      <c r="D57" s="9" t="s">
        <v>201</v>
      </c>
      <c r="E57" s="10" t="s">
        <v>196</v>
      </c>
      <c r="F57" s="11" t="s">
        <v>189</v>
      </c>
      <c r="G57" s="12" t="s">
        <v>32</v>
      </c>
      <c r="H57" s="12" t="s">
        <v>32</v>
      </c>
      <c r="I57" s="19" t="s">
        <v>32</v>
      </c>
      <c r="J57" s="13" t="s">
        <v>32</v>
      </c>
      <c r="K57" s="14" t="s">
        <v>33</v>
      </c>
      <c r="L57" s="14" t="s">
        <v>61</v>
      </c>
      <c r="M57" s="14" t="s">
        <v>35</v>
      </c>
      <c r="N57" s="15" t="s">
        <v>36</v>
      </c>
      <c r="O57" s="14" t="s">
        <v>201</v>
      </c>
      <c r="P57" s="14" t="s">
        <v>36</v>
      </c>
      <c r="Q57" s="14" t="s">
        <v>37</v>
      </c>
      <c r="R57" s="14" t="s">
        <v>49</v>
      </c>
      <c r="S57" s="14" t="s">
        <v>116</v>
      </c>
      <c r="T57" s="14">
        <f t="shared" si="1"/>
        <v>0</v>
      </c>
      <c r="U57" s="14">
        <f t="shared" si="2"/>
        <v>0</v>
      </c>
      <c r="V57" s="14">
        <f t="shared" si="3"/>
        <v>4</v>
      </c>
      <c r="W57" s="16">
        <f t="shared" si="4"/>
        <v>1</v>
      </c>
      <c r="X57" s="14" t="str">
        <f t="shared" si="5"/>
        <v>Hate Speech</v>
      </c>
      <c r="Y57" s="17">
        <f t="shared" si="6"/>
        <v>2.309401077</v>
      </c>
    </row>
    <row r="58">
      <c r="A58" s="7" t="s">
        <v>317</v>
      </c>
      <c r="B58" s="8" t="s">
        <v>318</v>
      </c>
      <c r="C58" s="9" t="s">
        <v>319</v>
      </c>
      <c r="D58" s="9" t="s">
        <v>109</v>
      </c>
      <c r="E58" s="10" t="s">
        <v>109</v>
      </c>
      <c r="F58" s="11" t="s">
        <v>110</v>
      </c>
      <c r="G58" s="12" t="s">
        <v>45</v>
      </c>
      <c r="H58" s="12" t="s">
        <v>31</v>
      </c>
      <c r="I58" s="12" t="s">
        <v>31</v>
      </c>
      <c r="J58" s="13" t="s">
        <v>31</v>
      </c>
      <c r="K58" s="14" t="s">
        <v>33</v>
      </c>
      <c r="L58" s="14" t="s">
        <v>34</v>
      </c>
      <c r="M58" s="14" t="s">
        <v>35</v>
      </c>
      <c r="N58" s="15" t="s">
        <v>48</v>
      </c>
      <c r="O58" s="14" t="s">
        <v>42</v>
      </c>
      <c r="P58" s="14" t="s">
        <v>49</v>
      </c>
      <c r="Q58" s="14" t="s">
        <v>42</v>
      </c>
      <c r="R58" s="14" t="s">
        <v>49</v>
      </c>
      <c r="S58" s="14" t="s">
        <v>105</v>
      </c>
      <c r="T58" s="14">
        <f t="shared" si="1"/>
        <v>1</v>
      </c>
      <c r="U58" s="14">
        <f t="shared" si="2"/>
        <v>3</v>
      </c>
      <c r="V58" s="14">
        <f t="shared" si="3"/>
        <v>0</v>
      </c>
      <c r="W58" s="16">
        <f t="shared" si="4"/>
        <v>1</v>
      </c>
      <c r="X58" s="14" t="str">
        <f t="shared" si="5"/>
        <v>Offensive</v>
      </c>
      <c r="Y58" s="17">
        <f t="shared" si="6"/>
        <v>1.527525232</v>
      </c>
    </row>
    <row r="59">
      <c r="A59" s="7" t="s">
        <v>320</v>
      </c>
      <c r="B59" s="8" t="s">
        <v>321</v>
      </c>
      <c r="C59" s="9" t="s">
        <v>322</v>
      </c>
      <c r="D59" s="9" t="s">
        <v>37</v>
      </c>
      <c r="E59" s="10" t="s">
        <v>323</v>
      </c>
      <c r="F59" s="11" t="s">
        <v>323</v>
      </c>
      <c r="G59" s="12" t="s">
        <v>31</v>
      </c>
      <c r="H59" s="12" t="s">
        <v>31</v>
      </c>
      <c r="I59" s="19" t="s">
        <v>32</v>
      </c>
      <c r="J59" s="13" t="s">
        <v>32</v>
      </c>
      <c r="K59" s="14" t="s">
        <v>33</v>
      </c>
      <c r="L59" s="14" t="s">
        <v>46</v>
      </c>
      <c r="M59" s="14" t="s">
        <v>35</v>
      </c>
      <c r="N59" s="15" t="s">
        <v>36</v>
      </c>
      <c r="O59" s="14" t="s">
        <v>37</v>
      </c>
      <c r="P59" s="14" t="s">
        <v>36</v>
      </c>
      <c r="Q59" s="14" t="s">
        <v>37</v>
      </c>
      <c r="R59" s="14" t="s">
        <v>36</v>
      </c>
      <c r="S59" s="14" t="s">
        <v>324</v>
      </c>
      <c r="T59" s="14">
        <f t="shared" si="1"/>
        <v>0</v>
      </c>
      <c r="U59" s="14">
        <f t="shared" si="2"/>
        <v>2</v>
      </c>
      <c r="V59" s="14">
        <f t="shared" si="3"/>
        <v>2</v>
      </c>
      <c r="W59" s="16">
        <f t="shared" si="4"/>
        <v>1</v>
      </c>
      <c r="X59" s="14" t="b">
        <f t="shared" si="5"/>
        <v>0</v>
      </c>
      <c r="Y59" s="17">
        <f t="shared" si="6"/>
        <v>1.154700538</v>
      </c>
    </row>
    <row r="60">
      <c r="A60" s="7" t="s">
        <v>325</v>
      </c>
      <c r="B60" s="8" t="s">
        <v>326</v>
      </c>
      <c r="C60" s="9" t="s">
        <v>327</v>
      </c>
      <c r="D60" s="9" t="s">
        <v>201</v>
      </c>
      <c r="E60" s="10" t="s">
        <v>328</v>
      </c>
      <c r="F60" s="11" t="s">
        <v>329</v>
      </c>
      <c r="G60" s="12" t="s">
        <v>31</v>
      </c>
      <c r="H60" s="12"/>
      <c r="I60" s="19" t="s">
        <v>32</v>
      </c>
      <c r="J60" s="13" t="s">
        <v>32</v>
      </c>
      <c r="K60" s="14" t="s">
        <v>33</v>
      </c>
      <c r="L60" s="14" t="s">
        <v>55</v>
      </c>
      <c r="M60" s="14" t="s">
        <v>35</v>
      </c>
      <c r="N60" s="15" t="s">
        <v>48</v>
      </c>
      <c r="O60" s="14" t="s">
        <v>42</v>
      </c>
      <c r="P60" s="14" t="s">
        <v>36</v>
      </c>
      <c r="Q60" s="14" t="s">
        <v>115</v>
      </c>
      <c r="R60" s="14" t="s">
        <v>36</v>
      </c>
      <c r="S60" s="14" t="s">
        <v>330</v>
      </c>
      <c r="T60" s="14">
        <f t="shared" si="1"/>
        <v>0</v>
      </c>
      <c r="U60" s="14">
        <f t="shared" si="2"/>
        <v>1</v>
      </c>
      <c r="V60" s="14">
        <f t="shared" si="3"/>
        <v>2</v>
      </c>
      <c r="W60" s="16">
        <f t="shared" si="4"/>
        <v>0.75</v>
      </c>
      <c r="X60" s="14" t="b">
        <f t="shared" si="5"/>
        <v>0</v>
      </c>
      <c r="Y60" s="17">
        <f t="shared" si="6"/>
        <v>1</v>
      </c>
    </row>
    <row r="61">
      <c r="A61" s="7" t="s">
        <v>331</v>
      </c>
      <c r="B61" s="8" t="s">
        <v>332</v>
      </c>
      <c r="C61" s="9" t="s">
        <v>333</v>
      </c>
      <c r="D61" s="9" t="s">
        <v>225</v>
      </c>
      <c r="E61" s="10" t="s">
        <v>43</v>
      </c>
      <c r="F61" s="18" t="s">
        <v>44</v>
      </c>
      <c r="G61" s="12" t="s">
        <v>45</v>
      </c>
      <c r="H61" s="12" t="s">
        <v>45</v>
      </c>
      <c r="I61" s="19" t="s">
        <v>31</v>
      </c>
      <c r="J61" s="13" t="s">
        <v>45</v>
      </c>
      <c r="K61" s="14" t="s">
        <v>33</v>
      </c>
      <c r="L61" s="14" t="s">
        <v>61</v>
      </c>
      <c r="M61" s="14" t="s">
        <v>47</v>
      </c>
      <c r="N61" s="15" t="s">
        <v>49</v>
      </c>
      <c r="O61" s="14" t="s">
        <v>42</v>
      </c>
      <c r="P61" s="14" t="s">
        <v>49</v>
      </c>
      <c r="Q61" s="14" t="s">
        <v>42</v>
      </c>
      <c r="R61" s="14" t="s">
        <v>49</v>
      </c>
      <c r="S61" s="14" t="s">
        <v>43</v>
      </c>
      <c r="T61" s="14">
        <f t="shared" si="1"/>
        <v>3</v>
      </c>
      <c r="U61" s="14">
        <f t="shared" si="2"/>
        <v>1</v>
      </c>
      <c r="V61" s="14">
        <f t="shared" si="3"/>
        <v>0</v>
      </c>
      <c r="W61" s="16">
        <f t="shared" si="4"/>
        <v>1</v>
      </c>
      <c r="X61" s="14" t="str">
        <f t="shared" si="5"/>
        <v>Normal</v>
      </c>
      <c r="Y61" s="17">
        <f t="shared" si="6"/>
        <v>1.527525232</v>
      </c>
    </row>
    <row r="62">
      <c r="A62" s="7" t="s">
        <v>334</v>
      </c>
      <c r="B62" s="8" t="s">
        <v>335</v>
      </c>
      <c r="C62" s="9" t="s">
        <v>336</v>
      </c>
      <c r="D62" s="9" t="s">
        <v>201</v>
      </c>
      <c r="E62" s="10" t="s">
        <v>168</v>
      </c>
      <c r="F62" s="11" t="s">
        <v>30</v>
      </c>
      <c r="G62" s="12" t="s">
        <v>31</v>
      </c>
      <c r="H62" s="12" t="s">
        <v>31</v>
      </c>
      <c r="I62" s="12" t="s">
        <v>32</v>
      </c>
      <c r="J62" s="13" t="s">
        <v>32</v>
      </c>
      <c r="K62" s="14" t="s">
        <v>33</v>
      </c>
      <c r="L62" s="14" t="s">
        <v>34</v>
      </c>
      <c r="M62" s="14" t="s">
        <v>35</v>
      </c>
      <c r="N62" s="15" t="s">
        <v>36</v>
      </c>
      <c r="O62" s="14" t="s">
        <v>116</v>
      </c>
      <c r="P62" s="14" t="s">
        <v>36</v>
      </c>
      <c r="Q62" s="14" t="s">
        <v>201</v>
      </c>
      <c r="R62" s="14" t="s">
        <v>36</v>
      </c>
      <c r="S62" s="14" t="s">
        <v>116</v>
      </c>
      <c r="T62" s="14">
        <f t="shared" si="1"/>
        <v>0</v>
      </c>
      <c r="U62" s="14">
        <f t="shared" si="2"/>
        <v>2</v>
      </c>
      <c r="V62" s="14">
        <f t="shared" si="3"/>
        <v>2</v>
      </c>
      <c r="W62" s="16">
        <f t="shared" si="4"/>
        <v>1</v>
      </c>
      <c r="X62" s="14" t="b">
        <f t="shared" si="5"/>
        <v>0</v>
      </c>
      <c r="Y62" s="17">
        <f t="shared" si="6"/>
        <v>1.154700538</v>
      </c>
    </row>
    <row r="63">
      <c r="A63" s="7" t="s">
        <v>337</v>
      </c>
      <c r="B63" s="8" t="s">
        <v>338</v>
      </c>
      <c r="C63" s="9" t="s">
        <v>339</v>
      </c>
      <c r="D63" s="9" t="s">
        <v>201</v>
      </c>
      <c r="E63" s="10" t="s">
        <v>340</v>
      </c>
      <c r="F63" s="11" t="s">
        <v>189</v>
      </c>
      <c r="G63" s="12" t="s">
        <v>31</v>
      </c>
      <c r="H63" s="12" t="s">
        <v>31</v>
      </c>
      <c r="I63" s="19" t="s">
        <v>32</v>
      </c>
      <c r="J63" s="13" t="s">
        <v>32</v>
      </c>
      <c r="K63" s="14" t="s">
        <v>33</v>
      </c>
      <c r="L63" s="14" t="s">
        <v>46</v>
      </c>
      <c r="M63" s="14" t="s">
        <v>35</v>
      </c>
      <c r="N63" s="15" t="s">
        <v>36</v>
      </c>
      <c r="O63" s="14" t="s">
        <v>201</v>
      </c>
      <c r="P63" s="14" t="s">
        <v>36</v>
      </c>
      <c r="Q63" s="14" t="s">
        <v>201</v>
      </c>
      <c r="R63" s="14" t="s">
        <v>36</v>
      </c>
      <c r="S63" s="14" t="s">
        <v>201</v>
      </c>
      <c r="T63" s="14">
        <f t="shared" si="1"/>
        <v>0</v>
      </c>
      <c r="U63" s="14">
        <f t="shared" si="2"/>
        <v>2</v>
      </c>
      <c r="V63" s="14">
        <f t="shared" si="3"/>
        <v>2</v>
      </c>
      <c r="W63" s="16">
        <f t="shared" si="4"/>
        <v>1</v>
      </c>
      <c r="X63" s="14" t="b">
        <f t="shared" si="5"/>
        <v>0</v>
      </c>
      <c r="Y63" s="17">
        <f t="shared" si="6"/>
        <v>1.154700538</v>
      </c>
    </row>
    <row r="64">
      <c r="A64" s="7" t="s">
        <v>341</v>
      </c>
      <c r="B64" s="8" t="s">
        <v>342</v>
      </c>
      <c r="C64" s="9" t="s">
        <v>343</v>
      </c>
      <c r="D64" s="9" t="s">
        <v>42</v>
      </c>
      <c r="E64" s="10" t="s">
        <v>99</v>
      </c>
      <c r="F64" s="18" t="s">
        <v>44</v>
      </c>
      <c r="G64" s="12" t="s">
        <v>45</v>
      </c>
      <c r="H64" s="12" t="s">
        <v>45</v>
      </c>
      <c r="I64" s="19" t="s">
        <v>45</v>
      </c>
      <c r="J64" s="13" t="s">
        <v>45</v>
      </c>
      <c r="K64" s="14" t="s">
        <v>33</v>
      </c>
      <c r="L64" s="14" t="s">
        <v>55</v>
      </c>
      <c r="M64" s="14" t="s">
        <v>35</v>
      </c>
      <c r="N64" s="15" t="s">
        <v>48</v>
      </c>
      <c r="O64" s="14" t="s">
        <v>42</v>
      </c>
      <c r="P64" s="14" t="s">
        <v>48</v>
      </c>
      <c r="Q64" s="14" t="s">
        <v>105</v>
      </c>
      <c r="R64" s="14" t="s">
        <v>49</v>
      </c>
      <c r="S64" s="14" t="s">
        <v>42</v>
      </c>
      <c r="T64" s="14">
        <f t="shared" si="1"/>
        <v>4</v>
      </c>
      <c r="U64" s="14">
        <f t="shared" si="2"/>
        <v>0</v>
      </c>
      <c r="V64" s="14">
        <f t="shared" si="3"/>
        <v>0</v>
      </c>
      <c r="W64" s="16">
        <f t="shared" si="4"/>
        <v>1</v>
      </c>
      <c r="X64" s="14" t="str">
        <f t="shared" si="5"/>
        <v>Normal</v>
      </c>
      <c r="Y64" s="17">
        <f t="shared" si="6"/>
        <v>2.309401077</v>
      </c>
    </row>
    <row r="65">
      <c r="A65" s="7" t="s">
        <v>344</v>
      </c>
      <c r="B65" s="8" t="s">
        <v>345</v>
      </c>
      <c r="C65" s="9" t="s">
        <v>346</v>
      </c>
      <c r="D65" s="9" t="s">
        <v>347</v>
      </c>
      <c r="E65" s="10" t="s">
        <v>348</v>
      </c>
      <c r="F65" s="18" t="s">
        <v>44</v>
      </c>
      <c r="G65" s="12" t="s">
        <v>45</v>
      </c>
      <c r="H65" s="12" t="s">
        <v>45</v>
      </c>
      <c r="I65" s="19" t="s">
        <v>31</v>
      </c>
      <c r="J65" s="13" t="s">
        <v>45</v>
      </c>
      <c r="K65" s="14" t="s">
        <v>33</v>
      </c>
      <c r="L65" s="14" t="s">
        <v>61</v>
      </c>
      <c r="M65" s="14" t="s">
        <v>47</v>
      </c>
      <c r="N65" s="15" t="s">
        <v>48</v>
      </c>
      <c r="O65" s="14" t="s">
        <v>42</v>
      </c>
      <c r="P65" s="14" t="s">
        <v>48</v>
      </c>
      <c r="Q65" s="14" t="s">
        <v>42</v>
      </c>
      <c r="R65" s="14" t="s">
        <v>48</v>
      </c>
      <c r="S65" s="14" t="s">
        <v>42</v>
      </c>
      <c r="T65" s="14">
        <f t="shared" si="1"/>
        <v>3</v>
      </c>
      <c r="U65" s="14">
        <f t="shared" si="2"/>
        <v>1</v>
      </c>
      <c r="V65" s="14">
        <f t="shared" si="3"/>
        <v>0</v>
      </c>
      <c r="W65" s="16">
        <f t="shared" si="4"/>
        <v>1</v>
      </c>
      <c r="X65" s="14" t="str">
        <f t="shared" si="5"/>
        <v>Normal</v>
      </c>
      <c r="Y65" s="17">
        <f t="shared" si="6"/>
        <v>1.527525232</v>
      </c>
    </row>
    <row r="66">
      <c r="A66" s="7" t="s">
        <v>349</v>
      </c>
      <c r="B66" s="8" t="s">
        <v>350</v>
      </c>
      <c r="C66" s="9" t="s">
        <v>351</v>
      </c>
      <c r="D66" s="9" t="s">
        <v>42</v>
      </c>
      <c r="E66" s="10" t="s">
        <v>72</v>
      </c>
      <c r="F66" s="18" t="s">
        <v>44</v>
      </c>
      <c r="G66" s="12" t="s">
        <v>45</v>
      </c>
      <c r="H66" s="12" t="s">
        <v>45</v>
      </c>
      <c r="I66" s="12" t="s">
        <v>31</v>
      </c>
      <c r="J66" s="13" t="s">
        <v>45</v>
      </c>
      <c r="K66" s="14" t="s">
        <v>33</v>
      </c>
      <c r="L66" s="14" t="s">
        <v>34</v>
      </c>
      <c r="M66" s="14" t="s">
        <v>47</v>
      </c>
      <c r="N66" s="15" t="s">
        <v>48</v>
      </c>
      <c r="O66" s="14" t="s">
        <v>352</v>
      </c>
      <c r="P66" s="14" t="s">
        <v>48</v>
      </c>
      <c r="Q66" s="14" t="s">
        <v>105</v>
      </c>
      <c r="R66" s="14" t="s">
        <v>49</v>
      </c>
      <c r="S66" s="14" t="s">
        <v>105</v>
      </c>
      <c r="T66" s="14">
        <f t="shared" si="1"/>
        <v>3</v>
      </c>
      <c r="U66" s="14">
        <f t="shared" si="2"/>
        <v>1</v>
      </c>
      <c r="V66" s="14">
        <f t="shared" si="3"/>
        <v>0</v>
      </c>
      <c r="W66" s="16">
        <f t="shared" si="4"/>
        <v>1</v>
      </c>
      <c r="X66" s="14" t="str">
        <f t="shared" si="5"/>
        <v>Normal</v>
      </c>
      <c r="Y66" s="17">
        <f t="shared" si="6"/>
        <v>1.527525232</v>
      </c>
    </row>
    <row r="67">
      <c r="A67" s="7" t="s">
        <v>353</v>
      </c>
      <c r="B67" s="8" t="s">
        <v>354</v>
      </c>
      <c r="C67" s="9" t="s">
        <v>355</v>
      </c>
      <c r="D67" s="9" t="s">
        <v>201</v>
      </c>
      <c r="E67" s="10" t="s">
        <v>340</v>
      </c>
      <c r="F67" s="11" t="s">
        <v>189</v>
      </c>
      <c r="G67" s="12" t="s">
        <v>31</v>
      </c>
      <c r="H67" s="12" t="s">
        <v>31</v>
      </c>
      <c r="I67" s="19" t="s">
        <v>32</v>
      </c>
      <c r="J67" s="13" t="s">
        <v>32</v>
      </c>
      <c r="K67" s="14" t="s">
        <v>33</v>
      </c>
      <c r="L67" s="14" t="s">
        <v>46</v>
      </c>
      <c r="M67" s="14" t="s">
        <v>35</v>
      </c>
      <c r="N67" s="15" t="s">
        <v>36</v>
      </c>
      <c r="O67" s="14" t="s">
        <v>116</v>
      </c>
      <c r="P67" s="14" t="s">
        <v>49</v>
      </c>
      <c r="Q67" s="14" t="s">
        <v>356</v>
      </c>
      <c r="R67" s="14" t="s">
        <v>36</v>
      </c>
      <c r="S67" s="14" t="s">
        <v>201</v>
      </c>
      <c r="T67" s="14">
        <f t="shared" si="1"/>
        <v>0</v>
      </c>
      <c r="U67" s="14">
        <f t="shared" si="2"/>
        <v>2</v>
      </c>
      <c r="V67" s="14">
        <f t="shared" si="3"/>
        <v>2</v>
      </c>
      <c r="W67" s="16">
        <f t="shared" si="4"/>
        <v>1</v>
      </c>
      <c r="X67" s="14" t="b">
        <f t="shared" si="5"/>
        <v>0</v>
      </c>
      <c r="Y67" s="17">
        <f t="shared" si="6"/>
        <v>1.154700538</v>
      </c>
    </row>
    <row r="68">
      <c r="A68" s="7" t="s">
        <v>357</v>
      </c>
      <c r="B68" s="8" t="s">
        <v>358</v>
      </c>
      <c r="C68" s="9" t="s">
        <v>359</v>
      </c>
      <c r="D68" s="9" t="s">
        <v>42</v>
      </c>
      <c r="E68" s="24"/>
      <c r="F68" s="18" t="s">
        <v>44</v>
      </c>
      <c r="G68" s="12" t="s">
        <v>45</v>
      </c>
      <c r="H68" s="12" t="s">
        <v>45</v>
      </c>
      <c r="I68" s="19" t="s">
        <v>45</v>
      </c>
      <c r="J68" s="13" t="s">
        <v>45</v>
      </c>
      <c r="K68" s="14" t="s">
        <v>33</v>
      </c>
      <c r="L68" s="14" t="s">
        <v>55</v>
      </c>
      <c r="M68" s="14" t="s">
        <v>35</v>
      </c>
      <c r="N68" s="15" t="s">
        <v>48</v>
      </c>
      <c r="O68" s="14" t="s">
        <v>42</v>
      </c>
      <c r="P68" s="14" t="s">
        <v>48</v>
      </c>
      <c r="Q68" s="14" t="s">
        <v>42</v>
      </c>
      <c r="R68" s="14" t="s">
        <v>49</v>
      </c>
      <c r="S68" s="14" t="s">
        <v>360</v>
      </c>
      <c r="T68" s="14">
        <f t="shared" si="1"/>
        <v>4</v>
      </c>
      <c r="U68" s="14">
        <f t="shared" si="2"/>
        <v>0</v>
      </c>
      <c r="V68" s="14">
        <f t="shared" si="3"/>
        <v>0</v>
      </c>
      <c r="W68" s="16">
        <f t="shared" si="4"/>
        <v>1</v>
      </c>
      <c r="X68" s="14" t="str">
        <f t="shared" si="5"/>
        <v>Normal</v>
      </c>
      <c r="Y68" s="17">
        <f t="shared" si="6"/>
        <v>2.309401077</v>
      </c>
    </row>
    <row r="69">
      <c r="A69" s="7" t="s">
        <v>361</v>
      </c>
      <c r="B69" s="8" t="s">
        <v>362</v>
      </c>
      <c r="C69" s="9" t="s">
        <v>363</v>
      </c>
      <c r="D69" s="9" t="s">
        <v>364</v>
      </c>
      <c r="E69" s="10" t="s">
        <v>365</v>
      </c>
      <c r="F69" s="18" t="s">
        <v>44</v>
      </c>
      <c r="G69" s="12" t="s">
        <v>31</v>
      </c>
      <c r="H69" s="12" t="s">
        <v>31</v>
      </c>
      <c r="I69" s="19" t="s">
        <v>32</v>
      </c>
      <c r="J69" s="13" t="s">
        <v>45</v>
      </c>
      <c r="K69" s="14" t="s">
        <v>33</v>
      </c>
      <c r="L69" s="14" t="s">
        <v>61</v>
      </c>
      <c r="M69" s="14" t="s">
        <v>35</v>
      </c>
      <c r="N69" s="15" t="s">
        <v>49</v>
      </c>
      <c r="O69" s="14" t="s">
        <v>366</v>
      </c>
      <c r="P69" s="14" t="s">
        <v>49</v>
      </c>
      <c r="Q69" s="14" t="s">
        <v>367</v>
      </c>
      <c r="R69" s="14" t="s">
        <v>49</v>
      </c>
      <c r="S69" s="14" t="s">
        <v>366</v>
      </c>
      <c r="T69" s="14">
        <f t="shared" si="1"/>
        <v>1</v>
      </c>
      <c r="U69" s="14">
        <f t="shared" si="2"/>
        <v>2</v>
      </c>
      <c r="V69" s="14">
        <f t="shared" si="3"/>
        <v>1</v>
      </c>
      <c r="W69" s="16">
        <f t="shared" si="4"/>
        <v>1</v>
      </c>
      <c r="X69" s="14" t="b">
        <f t="shared" si="5"/>
        <v>0</v>
      </c>
      <c r="Y69" s="17">
        <f t="shared" si="6"/>
        <v>0.5773502692</v>
      </c>
    </row>
    <row r="70">
      <c r="A70" s="7" t="s">
        <v>368</v>
      </c>
      <c r="B70" s="8" t="s">
        <v>369</v>
      </c>
      <c r="C70" s="9" t="s">
        <v>370</v>
      </c>
      <c r="D70" s="9" t="s">
        <v>42</v>
      </c>
      <c r="E70" s="10" t="s">
        <v>109</v>
      </c>
      <c r="F70" s="11" t="s">
        <v>110</v>
      </c>
      <c r="G70" s="12" t="s">
        <v>31</v>
      </c>
      <c r="H70" s="12" t="s">
        <v>45</v>
      </c>
      <c r="I70" s="12" t="s">
        <v>31</v>
      </c>
      <c r="J70" s="13" t="s">
        <v>31</v>
      </c>
      <c r="K70" s="14" t="s">
        <v>33</v>
      </c>
      <c r="L70" s="14" t="s">
        <v>34</v>
      </c>
      <c r="M70" s="14" t="s">
        <v>47</v>
      </c>
      <c r="N70" s="15" t="s">
        <v>49</v>
      </c>
      <c r="O70" s="14" t="s">
        <v>42</v>
      </c>
      <c r="P70" s="14" t="s">
        <v>49</v>
      </c>
      <c r="Q70" s="14" t="s">
        <v>42</v>
      </c>
      <c r="R70" s="14" t="s">
        <v>49</v>
      </c>
      <c r="S70" s="14" t="s">
        <v>105</v>
      </c>
      <c r="T70" s="14">
        <f t="shared" si="1"/>
        <v>1</v>
      </c>
      <c r="U70" s="14">
        <f t="shared" si="2"/>
        <v>3</v>
      </c>
      <c r="V70" s="14">
        <f t="shared" si="3"/>
        <v>0</v>
      </c>
      <c r="W70" s="16">
        <f t="shared" si="4"/>
        <v>1</v>
      </c>
      <c r="X70" s="14" t="str">
        <f t="shared" si="5"/>
        <v>Offensive</v>
      </c>
      <c r="Y70" s="17">
        <f t="shared" si="6"/>
        <v>1.527525232</v>
      </c>
    </row>
    <row r="71">
      <c r="A71" s="7" t="s">
        <v>371</v>
      </c>
      <c r="B71" s="8" t="s">
        <v>372</v>
      </c>
      <c r="C71" s="9" t="s">
        <v>373</v>
      </c>
      <c r="D71" s="9" t="s">
        <v>374</v>
      </c>
      <c r="E71" s="10" t="s">
        <v>181</v>
      </c>
      <c r="F71" s="18" t="s">
        <v>44</v>
      </c>
      <c r="G71" s="12" t="s">
        <v>45</v>
      </c>
      <c r="H71" s="12" t="s">
        <v>45</v>
      </c>
      <c r="I71" s="19" t="s">
        <v>45</v>
      </c>
      <c r="J71" s="13" t="s">
        <v>45</v>
      </c>
      <c r="K71" s="14" t="s">
        <v>33</v>
      </c>
      <c r="L71" s="14" t="s">
        <v>46</v>
      </c>
      <c r="M71" s="14" t="s">
        <v>35</v>
      </c>
      <c r="N71" s="15" t="s">
        <v>49</v>
      </c>
      <c r="O71" s="14" t="s">
        <v>283</v>
      </c>
      <c r="P71" s="14" t="s">
        <v>49</v>
      </c>
      <c r="Q71" s="14" t="s">
        <v>283</v>
      </c>
      <c r="R71" s="14" t="s">
        <v>49</v>
      </c>
      <c r="S71" s="14" t="s">
        <v>283</v>
      </c>
      <c r="T71" s="14">
        <f t="shared" si="1"/>
        <v>4</v>
      </c>
      <c r="U71" s="14">
        <f t="shared" si="2"/>
        <v>0</v>
      </c>
      <c r="V71" s="14">
        <f t="shared" si="3"/>
        <v>0</v>
      </c>
      <c r="W71" s="16">
        <f t="shared" si="4"/>
        <v>1</v>
      </c>
      <c r="X71" s="14" t="str">
        <f t="shared" si="5"/>
        <v>Normal</v>
      </c>
      <c r="Y71" s="17">
        <f t="shared" si="6"/>
        <v>2.309401077</v>
      </c>
    </row>
    <row r="72">
      <c r="A72" s="7" t="s">
        <v>375</v>
      </c>
      <c r="B72" s="8" t="s">
        <v>376</v>
      </c>
      <c r="C72" s="9" t="s">
        <v>377</v>
      </c>
      <c r="D72" s="9" t="s">
        <v>83</v>
      </c>
      <c r="E72" s="10" t="s">
        <v>83</v>
      </c>
      <c r="F72" s="11" t="s">
        <v>121</v>
      </c>
      <c r="G72" s="12" t="s">
        <v>31</v>
      </c>
      <c r="H72" s="12" t="s">
        <v>32</v>
      </c>
      <c r="I72" s="19" t="s">
        <v>31</v>
      </c>
      <c r="J72" s="13" t="s">
        <v>32</v>
      </c>
      <c r="K72" s="14" t="s">
        <v>33</v>
      </c>
      <c r="L72" s="14" t="s">
        <v>55</v>
      </c>
      <c r="M72" s="14" t="s">
        <v>35</v>
      </c>
      <c r="N72" s="15" t="s">
        <v>49</v>
      </c>
      <c r="O72" s="14" t="s">
        <v>83</v>
      </c>
      <c r="P72" s="14" t="s">
        <v>36</v>
      </c>
      <c r="Q72" s="14" t="s">
        <v>83</v>
      </c>
      <c r="R72" s="14" t="s">
        <v>36</v>
      </c>
      <c r="S72" s="14" t="s">
        <v>83</v>
      </c>
      <c r="T72" s="14">
        <f t="shared" si="1"/>
        <v>0</v>
      </c>
      <c r="U72" s="14">
        <f t="shared" si="2"/>
        <v>2</v>
      </c>
      <c r="V72" s="14">
        <f t="shared" si="3"/>
        <v>2</v>
      </c>
      <c r="W72" s="16">
        <f t="shared" si="4"/>
        <v>1</v>
      </c>
      <c r="X72" s="14" t="b">
        <f t="shared" si="5"/>
        <v>0</v>
      </c>
      <c r="Y72" s="17">
        <f t="shared" si="6"/>
        <v>1.154700538</v>
      </c>
    </row>
    <row r="73">
      <c r="A73" s="7" t="s">
        <v>378</v>
      </c>
      <c r="B73" s="8" t="s">
        <v>379</v>
      </c>
      <c r="C73" s="9" t="s">
        <v>380</v>
      </c>
      <c r="D73" s="9" t="s">
        <v>37</v>
      </c>
      <c r="E73" s="10" t="s">
        <v>196</v>
      </c>
      <c r="F73" s="18" t="s">
        <v>44</v>
      </c>
      <c r="G73" s="12" t="s">
        <v>31</v>
      </c>
      <c r="H73" s="12" t="s">
        <v>45</v>
      </c>
      <c r="I73" s="19" t="s">
        <v>32</v>
      </c>
      <c r="J73" s="13" t="s">
        <v>45</v>
      </c>
      <c r="K73" s="14" t="s">
        <v>33</v>
      </c>
      <c r="L73" s="14" t="s">
        <v>61</v>
      </c>
      <c r="M73" s="14" t="s">
        <v>35</v>
      </c>
      <c r="N73" s="15" t="s">
        <v>36</v>
      </c>
      <c r="O73" s="14" t="s">
        <v>37</v>
      </c>
      <c r="P73" s="14" t="s">
        <v>49</v>
      </c>
      <c r="Q73" s="14" t="s">
        <v>37</v>
      </c>
      <c r="R73" s="14" t="s">
        <v>49</v>
      </c>
      <c r="S73" s="14" t="s">
        <v>37</v>
      </c>
      <c r="T73" s="14">
        <f t="shared" si="1"/>
        <v>2</v>
      </c>
      <c r="U73" s="14">
        <f t="shared" si="2"/>
        <v>1</v>
      </c>
      <c r="V73" s="14">
        <f t="shared" si="3"/>
        <v>1</v>
      </c>
      <c r="W73" s="16">
        <f t="shared" si="4"/>
        <v>1</v>
      </c>
      <c r="X73" s="14" t="b">
        <f t="shared" si="5"/>
        <v>0</v>
      </c>
      <c r="Y73" s="17">
        <f t="shared" si="6"/>
        <v>0.5773502692</v>
      </c>
    </row>
    <row r="74">
      <c r="A74" s="7" t="s">
        <v>381</v>
      </c>
      <c r="B74" s="8" t="s">
        <v>382</v>
      </c>
      <c r="C74" s="9" t="s">
        <v>383</v>
      </c>
      <c r="D74" s="25" t="s">
        <v>283</v>
      </c>
      <c r="E74" s="10" t="s">
        <v>284</v>
      </c>
      <c r="F74" s="11" t="s">
        <v>384</v>
      </c>
      <c r="G74" s="12" t="s">
        <v>31</v>
      </c>
      <c r="H74" s="12" t="s">
        <v>31</v>
      </c>
      <c r="I74" s="12" t="s">
        <v>31</v>
      </c>
      <c r="J74" s="13" t="s">
        <v>31</v>
      </c>
      <c r="K74" s="14" t="s">
        <v>33</v>
      </c>
      <c r="L74" s="14" t="s">
        <v>34</v>
      </c>
      <c r="M74" s="14" t="s">
        <v>47</v>
      </c>
      <c r="N74" s="15" t="s">
        <v>49</v>
      </c>
      <c r="O74" s="14" t="s">
        <v>283</v>
      </c>
      <c r="P74" s="14" t="s">
        <v>49</v>
      </c>
      <c r="Q74" s="14" t="s">
        <v>283</v>
      </c>
      <c r="R74" s="14" t="s">
        <v>48</v>
      </c>
      <c r="S74" s="14" t="s">
        <v>42</v>
      </c>
      <c r="T74" s="14">
        <f t="shared" si="1"/>
        <v>0</v>
      </c>
      <c r="U74" s="14">
        <f t="shared" si="2"/>
        <v>4</v>
      </c>
      <c r="V74" s="14">
        <f t="shared" si="3"/>
        <v>0</v>
      </c>
      <c r="W74" s="16">
        <f t="shared" si="4"/>
        <v>1</v>
      </c>
      <c r="X74" s="14" t="str">
        <f t="shared" si="5"/>
        <v>Offensive</v>
      </c>
      <c r="Y74" s="17">
        <f t="shared" si="6"/>
        <v>2.309401077</v>
      </c>
    </row>
    <row r="75">
      <c r="A75" s="7" t="s">
        <v>385</v>
      </c>
      <c r="B75" s="8" t="s">
        <v>386</v>
      </c>
      <c r="C75" s="9" t="s">
        <v>387</v>
      </c>
      <c r="D75" s="9" t="s">
        <v>72</v>
      </c>
      <c r="E75" s="10" t="s">
        <v>73</v>
      </c>
      <c r="F75" s="11" t="s">
        <v>73</v>
      </c>
      <c r="G75" s="12" t="s">
        <v>31</v>
      </c>
      <c r="H75" s="12" t="s">
        <v>31</v>
      </c>
      <c r="I75" s="19" t="s">
        <v>32</v>
      </c>
      <c r="J75" s="13" t="s">
        <v>32</v>
      </c>
      <c r="K75" s="14" t="s">
        <v>33</v>
      </c>
      <c r="L75" s="14" t="s">
        <v>46</v>
      </c>
      <c r="M75" s="14" t="s">
        <v>35</v>
      </c>
      <c r="N75" s="15" t="s">
        <v>36</v>
      </c>
      <c r="O75" s="14" t="s">
        <v>72</v>
      </c>
      <c r="P75" s="14" t="s">
        <v>36</v>
      </c>
      <c r="Q75" s="14" t="s">
        <v>72</v>
      </c>
      <c r="R75" s="14" t="s">
        <v>36</v>
      </c>
      <c r="S75" s="14" t="s">
        <v>72</v>
      </c>
      <c r="T75" s="14">
        <f t="shared" si="1"/>
        <v>0</v>
      </c>
      <c r="U75" s="14">
        <f t="shared" si="2"/>
        <v>2</v>
      </c>
      <c r="V75" s="14">
        <f t="shared" si="3"/>
        <v>2</v>
      </c>
      <c r="W75" s="16">
        <f t="shared" si="4"/>
        <v>1</v>
      </c>
      <c r="X75" s="14" t="b">
        <f t="shared" si="5"/>
        <v>0</v>
      </c>
      <c r="Y75" s="17">
        <f t="shared" si="6"/>
        <v>1.154700538</v>
      </c>
    </row>
    <row r="76">
      <c r="A76" s="7" t="s">
        <v>388</v>
      </c>
      <c r="B76" s="8" t="s">
        <v>389</v>
      </c>
      <c r="C76" s="9" t="s">
        <v>390</v>
      </c>
      <c r="D76" s="9" t="s">
        <v>83</v>
      </c>
      <c r="E76" s="10" t="s">
        <v>88</v>
      </c>
      <c r="F76" s="11" t="s">
        <v>121</v>
      </c>
      <c r="G76" s="12" t="s">
        <v>31</v>
      </c>
      <c r="H76" s="12" t="s">
        <v>31</v>
      </c>
      <c r="I76" s="19" t="s">
        <v>31</v>
      </c>
      <c r="J76" s="13" t="s">
        <v>32</v>
      </c>
      <c r="K76" s="14" t="s">
        <v>33</v>
      </c>
      <c r="L76" s="14" t="s">
        <v>55</v>
      </c>
      <c r="M76" s="14" t="s">
        <v>35</v>
      </c>
      <c r="N76" s="15" t="s">
        <v>36</v>
      </c>
      <c r="O76" s="14" t="s">
        <v>83</v>
      </c>
      <c r="P76" s="14" t="s">
        <v>49</v>
      </c>
      <c r="Q76" s="14" t="s">
        <v>83</v>
      </c>
      <c r="R76" s="14" t="s">
        <v>49</v>
      </c>
      <c r="S76" s="14" t="s">
        <v>83</v>
      </c>
      <c r="T76" s="14">
        <f t="shared" si="1"/>
        <v>0</v>
      </c>
      <c r="U76" s="14">
        <f t="shared" si="2"/>
        <v>3</v>
      </c>
      <c r="V76" s="14">
        <f t="shared" si="3"/>
        <v>1</v>
      </c>
      <c r="W76" s="16">
        <f t="shared" si="4"/>
        <v>1</v>
      </c>
      <c r="X76" s="14" t="str">
        <f t="shared" si="5"/>
        <v>Offensive</v>
      </c>
      <c r="Y76" s="17">
        <f t="shared" si="6"/>
        <v>1.527525232</v>
      </c>
    </row>
    <row r="77">
      <c r="A77" s="7" t="s">
        <v>391</v>
      </c>
      <c r="B77" s="8" t="s">
        <v>392</v>
      </c>
      <c r="C77" s="9" t="s">
        <v>393</v>
      </c>
      <c r="D77" s="9" t="s">
        <v>42</v>
      </c>
      <c r="E77" s="10" t="s">
        <v>394</v>
      </c>
      <c r="F77" s="18" t="s">
        <v>44</v>
      </c>
      <c r="G77" s="12" t="s">
        <v>45</v>
      </c>
      <c r="H77" s="12" t="s">
        <v>45</v>
      </c>
      <c r="I77" s="19" t="s">
        <v>45</v>
      </c>
      <c r="J77" s="13" t="s">
        <v>45</v>
      </c>
      <c r="K77" s="14" t="s">
        <v>33</v>
      </c>
      <c r="L77" s="14" t="s">
        <v>61</v>
      </c>
      <c r="M77" s="14" t="s">
        <v>47</v>
      </c>
      <c r="N77" s="15" t="s">
        <v>48</v>
      </c>
      <c r="O77" s="14" t="s">
        <v>42</v>
      </c>
      <c r="P77" s="14" t="s">
        <v>48</v>
      </c>
      <c r="Q77" s="14" t="s">
        <v>42</v>
      </c>
      <c r="R77" s="14" t="s">
        <v>48</v>
      </c>
      <c r="S77" s="14" t="s">
        <v>42</v>
      </c>
      <c r="T77" s="14">
        <f t="shared" si="1"/>
        <v>4</v>
      </c>
      <c r="U77" s="14">
        <f t="shared" si="2"/>
        <v>0</v>
      </c>
      <c r="V77" s="14">
        <f t="shared" si="3"/>
        <v>0</v>
      </c>
      <c r="W77" s="16">
        <f t="shared" si="4"/>
        <v>1</v>
      </c>
      <c r="X77" s="14" t="str">
        <f t="shared" si="5"/>
        <v>Normal</v>
      </c>
      <c r="Y77" s="17">
        <f t="shared" si="6"/>
        <v>2.309401077</v>
      </c>
    </row>
    <row r="78">
      <c r="A78" s="7" t="s">
        <v>395</v>
      </c>
      <c r="B78" s="8" t="s">
        <v>396</v>
      </c>
      <c r="C78" s="9" t="s">
        <v>397</v>
      </c>
      <c r="D78" s="26" t="s">
        <v>42</v>
      </c>
      <c r="E78" s="24"/>
      <c r="F78" s="18" t="s">
        <v>44</v>
      </c>
      <c r="G78" s="12" t="s">
        <v>45</v>
      </c>
      <c r="H78" s="12" t="s">
        <v>45</v>
      </c>
      <c r="I78" s="12" t="s">
        <v>45</v>
      </c>
      <c r="J78" s="13" t="s">
        <v>45</v>
      </c>
      <c r="K78" s="14" t="s">
        <v>33</v>
      </c>
      <c r="L78" s="14" t="s">
        <v>34</v>
      </c>
      <c r="M78" s="14" t="s">
        <v>35</v>
      </c>
      <c r="N78" s="15" t="s">
        <v>48</v>
      </c>
      <c r="O78" s="14" t="s">
        <v>42</v>
      </c>
      <c r="P78" s="14" t="s">
        <v>48</v>
      </c>
      <c r="Q78" s="14" t="s">
        <v>42</v>
      </c>
      <c r="R78" s="14" t="s">
        <v>48</v>
      </c>
      <c r="S78" s="14" t="s">
        <v>105</v>
      </c>
      <c r="T78" s="14">
        <f t="shared" si="1"/>
        <v>4</v>
      </c>
      <c r="U78" s="14">
        <f t="shared" si="2"/>
        <v>0</v>
      </c>
      <c r="V78" s="14">
        <f t="shared" si="3"/>
        <v>0</v>
      </c>
      <c r="W78" s="16">
        <f t="shared" si="4"/>
        <v>1</v>
      </c>
      <c r="X78" s="14" t="str">
        <f t="shared" si="5"/>
        <v>Normal</v>
      </c>
      <c r="Y78" s="17">
        <f t="shared" si="6"/>
        <v>2.309401077</v>
      </c>
    </row>
    <row r="79">
      <c r="A79" s="7" t="s">
        <v>398</v>
      </c>
      <c r="B79" s="8" t="s">
        <v>399</v>
      </c>
      <c r="C79" s="9" t="s">
        <v>400</v>
      </c>
      <c r="D79" s="9" t="s">
        <v>42</v>
      </c>
      <c r="E79" s="10" t="s">
        <v>114</v>
      </c>
      <c r="F79" s="11" t="s">
        <v>155</v>
      </c>
      <c r="G79" s="12" t="s">
        <v>45</v>
      </c>
      <c r="H79" s="12" t="s">
        <v>31</v>
      </c>
      <c r="I79" s="19" t="s">
        <v>32</v>
      </c>
      <c r="J79" s="13" t="s">
        <v>32</v>
      </c>
      <c r="K79" s="14" t="s">
        <v>33</v>
      </c>
      <c r="L79" s="14" t="s">
        <v>46</v>
      </c>
      <c r="M79" s="14" t="s">
        <v>35</v>
      </c>
      <c r="N79" s="15" t="s">
        <v>49</v>
      </c>
      <c r="O79" s="14" t="s">
        <v>105</v>
      </c>
      <c r="P79" s="14" t="s">
        <v>36</v>
      </c>
      <c r="Q79" s="14" t="s">
        <v>401</v>
      </c>
      <c r="R79" s="14" t="s">
        <v>36</v>
      </c>
      <c r="S79" s="14" t="s">
        <v>62</v>
      </c>
      <c r="T79" s="14">
        <f t="shared" si="1"/>
        <v>1</v>
      </c>
      <c r="U79" s="14">
        <f t="shared" si="2"/>
        <v>1</v>
      </c>
      <c r="V79" s="14">
        <f t="shared" si="3"/>
        <v>2</v>
      </c>
      <c r="W79" s="16">
        <f t="shared" si="4"/>
        <v>1</v>
      </c>
      <c r="X79" s="14" t="b">
        <f t="shared" si="5"/>
        <v>0</v>
      </c>
      <c r="Y79" s="17">
        <f t="shared" si="6"/>
        <v>0.5773502692</v>
      </c>
    </row>
    <row r="80">
      <c r="A80" s="7" t="s">
        <v>402</v>
      </c>
      <c r="B80" s="8" t="s">
        <v>403</v>
      </c>
      <c r="C80" s="9" t="s">
        <v>404</v>
      </c>
      <c r="D80" s="9" t="s">
        <v>405</v>
      </c>
      <c r="E80" s="10" t="s">
        <v>406</v>
      </c>
      <c r="F80" s="11" t="s">
        <v>407</v>
      </c>
      <c r="G80" s="12" t="s">
        <v>31</v>
      </c>
      <c r="H80" s="12" t="s">
        <v>31</v>
      </c>
      <c r="I80" s="19" t="s">
        <v>32</v>
      </c>
      <c r="J80" s="13" t="s">
        <v>31</v>
      </c>
      <c r="K80" s="14" t="s">
        <v>33</v>
      </c>
      <c r="L80" s="14" t="s">
        <v>55</v>
      </c>
      <c r="M80" s="14" t="s">
        <v>35</v>
      </c>
      <c r="N80" s="15" t="s">
        <v>36</v>
      </c>
      <c r="O80" s="14" t="s">
        <v>408</v>
      </c>
      <c r="P80" s="14" t="s">
        <v>36</v>
      </c>
      <c r="Q80" s="14" t="s">
        <v>408</v>
      </c>
      <c r="R80" s="14" t="s">
        <v>36</v>
      </c>
      <c r="S80" s="14" t="s">
        <v>408</v>
      </c>
      <c r="T80" s="14">
        <f t="shared" si="1"/>
        <v>0</v>
      </c>
      <c r="U80" s="14">
        <f t="shared" si="2"/>
        <v>3</v>
      </c>
      <c r="V80" s="14">
        <f t="shared" si="3"/>
        <v>1</v>
      </c>
      <c r="W80" s="16">
        <f t="shared" si="4"/>
        <v>1</v>
      </c>
      <c r="X80" s="14" t="str">
        <f t="shared" si="5"/>
        <v>Offensive</v>
      </c>
      <c r="Y80" s="17">
        <f t="shared" si="6"/>
        <v>1.527525232</v>
      </c>
    </row>
    <row r="81">
      <c r="A81" s="7" t="s">
        <v>409</v>
      </c>
      <c r="B81" s="8" t="s">
        <v>410</v>
      </c>
      <c r="C81" s="9" t="s">
        <v>411</v>
      </c>
      <c r="D81" s="9" t="s">
        <v>412</v>
      </c>
      <c r="E81" s="10" t="s">
        <v>269</v>
      </c>
      <c r="F81" s="18" t="s">
        <v>44</v>
      </c>
      <c r="G81" s="12" t="s">
        <v>45</v>
      </c>
      <c r="H81" s="12" t="s">
        <v>45</v>
      </c>
      <c r="I81" s="19" t="s">
        <v>32</v>
      </c>
      <c r="J81" s="13" t="s">
        <v>45</v>
      </c>
      <c r="K81" s="14" t="s">
        <v>33</v>
      </c>
      <c r="L81" s="14" t="s">
        <v>61</v>
      </c>
      <c r="M81" s="14" t="s">
        <v>35</v>
      </c>
      <c r="N81" s="15" t="s">
        <v>48</v>
      </c>
      <c r="O81" s="14" t="s">
        <v>42</v>
      </c>
      <c r="P81" s="14" t="s">
        <v>49</v>
      </c>
      <c r="Q81" s="14" t="s">
        <v>413</v>
      </c>
      <c r="R81" s="14" t="s">
        <v>49</v>
      </c>
      <c r="S81" s="14" t="s">
        <v>83</v>
      </c>
      <c r="T81" s="14">
        <f t="shared" si="1"/>
        <v>3</v>
      </c>
      <c r="U81" s="14">
        <f t="shared" si="2"/>
        <v>0</v>
      </c>
      <c r="V81" s="14">
        <f t="shared" si="3"/>
        <v>1</v>
      </c>
      <c r="W81" s="16">
        <f t="shared" si="4"/>
        <v>1</v>
      </c>
      <c r="X81" s="14" t="str">
        <f t="shared" si="5"/>
        <v>Normal</v>
      </c>
      <c r="Y81" s="17">
        <f t="shared" si="6"/>
        <v>1.527525232</v>
      </c>
    </row>
    <row r="82">
      <c r="A82" s="7" t="s">
        <v>414</v>
      </c>
      <c r="B82" s="8" t="s">
        <v>415</v>
      </c>
      <c r="C82" s="9" t="s">
        <v>416</v>
      </c>
      <c r="D82" s="9" t="s">
        <v>109</v>
      </c>
      <c r="E82" s="10" t="s">
        <v>109</v>
      </c>
      <c r="F82" s="11" t="s">
        <v>110</v>
      </c>
      <c r="G82" s="12" t="s">
        <v>31</v>
      </c>
      <c r="H82" s="12" t="s">
        <v>31</v>
      </c>
      <c r="I82" s="12" t="s">
        <v>31</v>
      </c>
      <c r="J82" s="13" t="s">
        <v>32</v>
      </c>
      <c r="K82" s="14" t="s">
        <v>33</v>
      </c>
      <c r="L82" s="14" t="s">
        <v>34</v>
      </c>
      <c r="M82" s="14" t="s">
        <v>35</v>
      </c>
      <c r="N82" s="15" t="s">
        <v>49</v>
      </c>
      <c r="O82" s="14" t="s">
        <v>105</v>
      </c>
      <c r="P82" s="14" t="s">
        <v>48</v>
      </c>
      <c r="Q82" s="14" t="s">
        <v>42</v>
      </c>
      <c r="R82" s="14" t="s">
        <v>49</v>
      </c>
      <c r="S82" s="14" t="s">
        <v>105</v>
      </c>
      <c r="T82" s="14">
        <f t="shared" si="1"/>
        <v>0</v>
      </c>
      <c r="U82" s="14">
        <f t="shared" si="2"/>
        <v>3</v>
      </c>
      <c r="V82" s="14">
        <f t="shared" si="3"/>
        <v>1</v>
      </c>
      <c r="W82" s="16">
        <f t="shared" si="4"/>
        <v>1</v>
      </c>
      <c r="X82" s="14" t="str">
        <f t="shared" si="5"/>
        <v>Offensive</v>
      </c>
      <c r="Y82" s="17">
        <f t="shared" si="6"/>
        <v>1.527525232</v>
      </c>
    </row>
    <row r="83">
      <c r="A83" s="7" t="s">
        <v>417</v>
      </c>
      <c r="B83" s="8" t="s">
        <v>418</v>
      </c>
      <c r="C83" s="9" t="s">
        <v>419</v>
      </c>
      <c r="D83" s="9" t="s">
        <v>374</v>
      </c>
      <c r="E83" s="10" t="s">
        <v>181</v>
      </c>
      <c r="F83" s="18" t="s">
        <v>44</v>
      </c>
      <c r="G83" s="12" t="s">
        <v>45</v>
      </c>
      <c r="H83" s="12" t="s">
        <v>45</v>
      </c>
      <c r="I83" s="19" t="s">
        <v>45</v>
      </c>
      <c r="J83" s="13" t="s">
        <v>45</v>
      </c>
      <c r="K83" s="14" t="s">
        <v>33</v>
      </c>
      <c r="L83" s="14" t="s">
        <v>46</v>
      </c>
      <c r="M83" s="14" t="s">
        <v>35</v>
      </c>
      <c r="N83" s="15" t="s">
        <v>48</v>
      </c>
      <c r="O83" s="14" t="s">
        <v>283</v>
      </c>
      <c r="P83" s="14" t="s">
        <v>48</v>
      </c>
      <c r="Q83" s="14" t="s">
        <v>283</v>
      </c>
      <c r="R83" s="14" t="s">
        <v>48</v>
      </c>
      <c r="S83" s="14" t="s">
        <v>42</v>
      </c>
      <c r="T83" s="14">
        <f t="shared" si="1"/>
        <v>4</v>
      </c>
      <c r="U83" s="14">
        <f t="shared" si="2"/>
        <v>0</v>
      </c>
      <c r="V83" s="14">
        <f t="shared" si="3"/>
        <v>0</v>
      </c>
      <c r="W83" s="16">
        <f t="shared" si="4"/>
        <v>1</v>
      </c>
      <c r="X83" s="14" t="str">
        <f t="shared" si="5"/>
        <v>Normal</v>
      </c>
      <c r="Y83" s="17">
        <f t="shared" si="6"/>
        <v>2.309401077</v>
      </c>
    </row>
    <row r="84">
      <c r="A84" s="7" t="s">
        <v>420</v>
      </c>
      <c r="B84" s="8" t="s">
        <v>421</v>
      </c>
      <c r="C84" s="9" t="s">
        <v>422</v>
      </c>
      <c r="D84" s="9" t="s">
        <v>423</v>
      </c>
      <c r="E84" s="10" t="s">
        <v>424</v>
      </c>
      <c r="F84" s="11" t="s">
        <v>425</v>
      </c>
      <c r="G84" s="12" t="s">
        <v>31</v>
      </c>
      <c r="H84" s="12" t="s">
        <v>32</v>
      </c>
      <c r="I84" s="19" t="s">
        <v>32</v>
      </c>
      <c r="J84" s="13" t="s">
        <v>32</v>
      </c>
      <c r="K84" s="14" t="s">
        <v>33</v>
      </c>
      <c r="L84" s="14" t="s">
        <v>55</v>
      </c>
      <c r="M84" s="14" t="s">
        <v>35</v>
      </c>
      <c r="N84" s="15" t="s">
        <v>36</v>
      </c>
      <c r="O84" s="14" t="s">
        <v>426</v>
      </c>
      <c r="P84" s="14" t="s">
        <v>36</v>
      </c>
      <c r="Q84" s="14" t="s">
        <v>427</v>
      </c>
      <c r="R84" s="14" t="s">
        <v>49</v>
      </c>
      <c r="S84" s="14" t="s">
        <v>428</v>
      </c>
      <c r="T84" s="14">
        <f t="shared" si="1"/>
        <v>0</v>
      </c>
      <c r="U84" s="14">
        <f t="shared" si="2"/>
        <v>1</v>
      </c>
      <c r="V84" s="14">
        <f t="shared" si="3"/>
        <v>3</v>
      </c>
      <c r="W84" s="16">
        <f t="shared" si="4"/>
        <v>1</v>
      </c>
      <c r="X84" s="14" t="str">
        <f t="shared" si="5"/>
        <v>Hate Speech</v>
      </c>
      <c r="Y84" s="17">
        <f t="shared" si="6"/>
        <v>1.527525232</v>
      </c>
    </row>
    <row r="85">
      <c r="A85" s="7" t="s">
        <v>429</v>
      </c>
      <c r="B85" s="8" t="s">
        <v>430</v>
      </c>
      <c r="C85" s="9" t="s">
        <v>431</v>
      </c>
      <c r="D85" s="9" t="s">
        <v>42</v>
      </c>
      <c r="E85" s="10" t="s">
        <v>60</v>
      </c>
      <c r="F85" s="18" t="s">
        <v>44</v>
      </c>
      <c r="G85" s="12" t="s">
        <v>45</v>
      </c>
      <c r="H85" s="12" t="s">
        <v>45</v>
      </c>
      <c r="I85" s="19" t="s">
        <v>31</v>
      </c>
      <c r="J85" s="13" t="s">
        <v>45</v>
      </c>
      <c r="K85" s="14" t="s">
        <v>33</v>
      </c>
      <c r="L85" s="14" t="s">
        <v>61</v>
      </c>
      <c r="M85" s="14" t="s">
        <v>47</v>
      </c>
      <c r="N85" s="15" t="s">
        <v>48</v>
      </c>
      <c r="O85" s="14" t="s">
        <v>42</v>
      </c>
      <c r="P85" s="14" t="s">
        <v>48</v>
      </c>
      <c r="Q85" s="14" t="s">
        <v>42</v>
      </c>
      <c r="R85" s="14" t="s">
        <v>48</v>
      </c>
      <c r="S85" s="14" t="s">
        <v>42</v>
      </c>
      <c r="T85" s="14">
        <f t="shared" si="1"/>
        <v>3</v>
      </c>
      <c r="U85" s="14">
        <f t="shared" si="2"/>
        <v>1</v>
      </c>
      <c r="V85" s="14">
        <f t="shared" si="3"/>
        <v>0</v>
      </c>
      <c r="W85" s="16">
        <f t="shared" si="4"/>
        <v>1</v>
      </c>
      <c r="X85" s="14" t="str">
        <f t="shared" si="5"/>
        <v>Normal</v>
      </c>
      <c r="Y85" s="17">
        <f t="shared" si="6"/>
        <v>1.527525232</v>
      </c>
    </row>
    <row r="86">
      <c r="A86" s="7" t="s">
        <v>432</v>
      </c>
      <c r="B86" s="8" t="s">
        <v>433</v>
      </c>
      <c r="C86" s="9" t="s">
        <v>434</v>
      </c>
      <c r="D86" s="9" t="s">
        <v>66</v>
      </c>
      <c r="E86" s="10" t="s">
        <v>435</v>
      </c>
      <c r="F86" s="11" t="s">
        <v>436</v>
      </c>
      <c r="G86" s="12" t="s">
        <v>31</v>
      </c>
      <c r="H86" s="12" t="s">
        <v>31</v>
      </c>
      <c r="I86" s="12" t="s">
        <v>32</v>
      </c>
      <c r="J86" s="13" t="s">
        <v>32</v>
      </c>
      <c r="K86" s="14" t="s">
        <v>33</v>
      </c>
      <c r="L86" s="14" t="s">
        <v>34</v>
      </c>
      <c r="M86" s="14" t="s">
        <v>35</v>
      </c>
      <c r="N86" s="15" t="s">
        <v>48</v>
      </c>
      <c r="O86" s="14" t="s">
        <v>42</v>
      </c>
      <c r="P86" s="14" t="s">
        <v>49</v>
      </c>
      <c r="Q86" s="14" t="s">
        <v>413</v>
      </c>
      <c r="R86" s="14" t="s">
        <v>49</v>
      </c>
      <c r="S86" s="14" t="s">
        <v>115</v>
      </c>
      <c r="T86" s="14">
        <f t="shared" si="1"/>
        <v>0</v>
      </c>
      <c r="U86" s="14">
        <f t="shared" si="2"/>
        <v>2</v>
      </c>
      <c r="V86" s="14">
        <f t="shared" si="3"/>
        <v>2</v>
      </c>
      <c r="W86" s="16">
        <f t="shared" si="4"/>
        <v>1</v>
      </c>
      <c r="X86" s="14" t="b">
        <f t="shared" si="5"/>
        <v>0</v>
      </c>
      <c r="Y86" s="17">
        <f t="shared" si="6"/>
        <v>1.154700538</v>
      </c>
    </row>
    <row r="87">
      <c r="A87" s="7" t="s">
        <v>437</v>
      </c>
      <c r="B87" s="8" t="s">
        <v>438</v>
      </c>
      <c r="C87" s="9" t="s">
        <v>439</v>
      </c>
      <c r="D87" s="9" t="s">
        <v>440</v>
      </c>
      <c r="E87" s="10" t="s">
        <v>441</v>
      </c>
      <c r="F87" s="11" t="s">
        <v>442</v>
      </c>
      <c r="G87" s="12" t="s">
        <v>32</v>
      </c>
      <c r="H87" s="12" t="s">
        <v>32</v>
      </c>
      <c r="I87" s="19" t="s">
        <v>32</v>
      </c>
      <c r="J87" s="13" t="s">
        <v>32</v>
      </c>
      <c r="K87" s="14" t="s">
        <v>33</v>
      </c>
      <c r="L87" s="14" t="s">
        <v>46</v>
      </c>
      <c r="M87" s="14" t="s">
        <v>35</v>
      </c>
      <c r="N87" s="15" t="s">
        <v>36</v>
      </c>
      <c r="O87" s="14" t="s">
        <v>443</v>
      </c>
      <c r="P87" s="14" t="s">
        <v>36</v>
      </c>
      <c r="Q87" s="14" t="s">
        <v>444</v>
      </c>
      <c r="R87" s="14" t="s">
        <v>36</v>
      </c>
      <c r="S87" s="14" t="s">
        <v>169</v>
      </c>
      <c r="T87" s="14">
        <f t="shared" si="1"/>
        <v>0</v>
      </c>
      <c r="U87" s="14">
        <f t="shared" si="2"/>
        <v>0</v>
      </c>
      <c r="V87" s="14">
        <f t="shared" si="3"/>
        <v>4</v>
      </c>
      <c r="W87" s="16">
        <f t="shared" si="4"/>
        <v>1</v>
      </c>
      <c r="X87" s="14" t="str">
        <f t="shared" si="5"/>
        <v>Hate Speech</v>
      </c>
      <c r="Y87" s="17">
        <f t="shared" si="6"/>
        <v>2.309401077</v>
      </c>
    </row>
    <row r="88">
      <c r="A88" s="7" t="s">
        <v>445</v>
      </c>
      <c r="B88" s="8" t="s">
        <v>446</v>
      </c>
      <c r="C88" s="9" t="s">
        <v>447</v>
      </c>
      <c r="D88" s="9" t="s">
        <v>225</v>
      </c>
      <c r="E88" s="10" t="s">
        <v>292</v>
      </c>
      <c r="F88" s="11" t="s">
        <v>54</v>
      </c>
      <c r="G88" s="12" t="s">
        <v>45</v>
      </c>
      <c r="H88" s="12" t="s">
        <v>45</v>
      </c>
      <c r="I88" s="19" t="s">
        <v>31</v>
      </c>
      <c r="J88" s="13" t="s">
        <v>31</v>
      </c>
      <c r="K88" s="14" t="s">
        <v>33</v>
      </c>
      <c r="L88" s="14" t="s">
        <v>55</v>
      </c>
      <c r="M88" s="14" t="s">
        <v>47</v>
      </c>
      <c r="N88" s="15" t="s">
        <v>48</v>
      </c>
      <c r="O88" s="14" t="s">
        <v>42</v>
      </c>
      <c r="P88" s="14" t="s">
        <v>48</v>
      </c>
      <c r="Q88" s="14" t="s">
        <v>42</v>
      </c>
      <c r="R88" s="14" t="s">
        <v>48</v>
      </c>
      <c r="S88" s="14" t="s">
        <v>62</v>
      </c>
      <c r="T88" s="14">
        <f t="shared" si="1"/>
        <v>2</v>
      </c>
      <c r="U88" s="14">
        <f t="shared" si="2"/>
        <v>2</v>
      </c>
      <c r="V88" s="14">
        <f t="shared" si="3"/>
        <v>0</v>
      </c>
      <c r="W88" s="16">
        <f t="shared" si="4"/>
        <v>1</v>
      </c>
      <c r="X88" s="14" t="b">
        <f t="shared" si="5"/>
        <v>0</v>
      </c>
      <c r="Y88" s="17">
        <f t="shared" si="6"/>
        <v>1.154700538</v>
      </c>
    </row>
    <row r="89">
      <c r="A89" s="7" t="s">
        <v>448</v>
      </c>
      <c r="B89" s="8" t="s">
        <v>449</v>
      </c>
      <c r="C89" s="9" t="s">
        <v>450</v>
      </c>
      <c r="D89" s="9" t="s">
        <v>42</v>
      </c>
      <c r="E89" s="10" t="s">
        <v>451</v>
      </c>
      <c r="F89" s="18" t="s">
        <v>44</v>
      </c>
      <c r="G89" s="12" t="s">
        <v>45</v>
      </c>
      <c r="H89" s="12" t="s">
        <v>45</v>
      </c>
      <c r="I89" s="19" t="s">
        <v>31</v>
      </c>
      <c r="J89" s="13" t="s">
        <v>45</v>
      </c>
      <c r="K89" s="14" t="s">
        <v>33</v>
      </c>
      <c r="L89" s="14" t="s">
        <v>61</v>
      </c>
      <c r="M89" s="14" t="s">
        <v>47</v>
      </c>
      <c r="N89" s="15" t="s">
        <v>49</v>
      </c>
      <c r="O89" s="14" t="s">
        <v>37</v>
      </c>
      <c r="P89" s="14" t="s">
        <v>36</v>
      </c>
      <c r="Q89" s="14" t="s">
        <v>42</v>
      </c>
      <c r="R89" s="14" t="s">
        <v>48</v>
      </c>
      <c r="S89" s="14" t="s">
        <v>42</v>
      </c>
      <c r="T89" s="14">
        <f t="shared" si="1"/>
        <v>3</v>
      </c>
      <c r="U89" s="14">
        <f t="shared" si="2"/>
        <v>1</v>
      </c>
      <c r="V89" s="14">
        <f t="shared" si="3"/>
        <v>0</v>
      </c>
      <c r="W89" s="16">
        <f t="shared" si="4"/>
        <v>1</v>
      </c>
      <c r="X89" s="14" t="str">
        <f t="shared" si="5"/>
        <v>Normal</v>
      </c>
      <c r="Y89" s="17">
        <f t="shared" si="6"/>
        <v>1.527525232</v>
      </c>
    </row>
    <row r="90">
      <c r="A90" s="7" t="s">
        <v>452</v>
      </c>
      <c r="B90" s="8" t="s">
        <v>453</v>
      </c>
      <c r="C90" s="9" t="s">
        <v>454</v>
      </c>
      <c r="D90" s="9" t="s">
        <v>455</v>
      </c>
      <c r="E90" s="10" t="s">
        <v>62</v>
      </c>
      <c r="F90" s="18" t="s">
        <v>44</v>
      </c>
      <c r="G90" s="12" t="s">
        <v>45</v>
      </c>
      <c r="H90" s="27" t="s">
        <v>31</v>
      </c>
      <c r="I90" s="12" t="s">
        <v>31</v>
      </c>
      <c r="J90" s="13" t="s">
        <v>45</v>
      </c>
      <c r="K90" s="14" t="s">
        <v>33</v>
      </c>
      <c r="L90" s="14" t="s">
        <v>34</v>
      </c>
      <c r="M90" s="14" t="s">
        <v>47</v>
      </c>
      <c r="N90" s="15" t="s">
        <v>48</v>
      </c>
      <c r="O90" s="14" t="s">
        <v>62</v>
      </c>
      <c r="P90" s="14" t="s">
        <v>49</v>
      </c>
      <c r="Q90" s="14" t="s">
        <v>62</v>
      </c>
      <c r="R90" s="14" t="s">
        <v>48</v>
      </c>
      <c r="S90" s="14" t="s">
        <v>62</v>
      </c>
      <c r="T90" s="14">
        <f t="shared" si="1"/>
        <v>2</v>
      </c>
      <c r="U90" s="14">
        <f t="shared" si="2"/>
        <v>2</v>
      </c>
      <c r="V90" s="14">
        <f t="shared" si="3"/>
        <v>0</v>
      </c>
      <c r="W90" s="16">
        <f t="shared" si="4"/>
        <v>1</v>
      </c>
      <c r="X90" s="14" t="b">
        <f t="shared" si="5"/>
        <v>0</v>
      </c>
      <c r="Y90" s="17">
        <f t="shared" si="6"/>
        <v>1.154700538</v>
      </c>
    </row>
    <row r="91">
      <c r="A91" s="7" t="s">
        <v>456</v>
      </c>
      <c r="B91" s="8" t="s">
        <v>457</v>
      </c>
      <c r="C91" s="9" t="s">
        <v>458</v>
      </c>
      <c r="D91" s="9" t="s">
        <v>459</v>
      </c>
      <c r="E91" s="10" t="s">
        <v>54</v>
      </c>
      <c r="F91" s="11" t="s">
        <v>54</v>
      </c>
      <c r="G91" s="12" t="s">
        <v>31</v>
      </c>
      <c r="H91" s="12" t="s">
        <v>31</v>
      </c>
      <c r="I91" s="19" t="s">
        <v>32</v>
      </c>
      <c r="J91" s="13" t="s">
        <v>32</v>
      </c>
      <c r="K91" s="14" t="s">
        <v>33</v>
      </c>
      <c r="L91" s="14" t="s">
        <v>46</v>
      </c>
      <c r="M91" s="14" t="s">
        <v>47</v>
      </c>
      <c r="N91" s="15" t="s">
        <v>36</v>
      </c>
      <c r="O91" s="14" t="s">
        <v>37</v>
      </c>
      <c r="P91" s="14" t="s">
        <v>48</v>
      </c>
      <c r="Q91" s="14" t="s">
        <v>42</v>
      </c>
      <c r="R91" s="14" t="s">
        <v>36</v>
      </c>
      <c r="S91" s="14" t="s">
        <v>37</v>
      </c>
      <c r="T91" s="14">
        <f t="shared" si="1"/>
        <v>0</v>
      </c>
      <c r="U91" s="14">
        <f t="shared" si="2"/>
        <v>2</v>
      </c>
      <c r="V91" s="14">
        <f t="shared" si="3"/>
        <v>2</v>
      </c>
      <c r="W91" s="16">
        <f t="shared" si="4"/>
        <v>1</v>
      </c>
      <c r="X91" s="14" t="b">
        <f t="shared" si="5"/>
        <v>0</v>
      </c>
      <c r="Y91" s="17">
        <f t="shared" si="6"/>
        <v>1.154700538</v>
      </c>
    </row>
    <row r="92">
      <c r="A92" s="7" t="s">
        <v>460</v>
      </c>
      <c r="B92" s="8" t="s">
        <v>461</v>
      </c>
      <c r="C92" s="9" t="s">
        <v>462</v>
      </c>
      <c r="D92" s="9" t="s">
        <v>83</v>
      </c>
      <c r="E92" s="10" t="s">
        <v>463</v>
      </c>
      <c r="F92" s="11" t="s">
        <v>464</v>
      </c>
      <c r="G92" s="12" t="s">
        <v>31</v>
      </c>
      <c r="H92" s="12" t="s">
        <v>31</v>
      </c>
      <c r="I92" s="19" t="s">
        <v>31</v>
      </c>
      <c r="J92" s="13" t="s">
        <v>31</v>
      </c>
      <c r="K92" s="14" t="s">
        <v>33</v>
      </c>
      <c r="L92" s="14" t="s">
        <v>55</v>
      </c>
      <c r="M92" s="14" t="s">
        <v>47</v>
      </c>
      <c r="N92" s="15" t="s">
        <v>49</v>
      </c>
      <c r="O92" s="14" t="s">
        <v>83</v>
      </c>
      <c r="P92" s="14" t="s">
        <v>49</v>
      </c>
      <c r="Q92" s="14" t="s">
        <v>83</v>
      </c>
      <c r="R92" s="14" t="s">
        <v>49</v>
      </c>
      <c r="S92" s="14" t="s">
        <v>83</v>
      </c>
      <c r="T92" s="14">
        <f t="shared" si="1"/>
        <v>0</v>
      </c>
      <c r="U92" s="14">
        <f t="shared" si="2"/>
        <v>4</v>
      </c>
      <c r="V92" s="14">
        <f t="shared" si="3"/>
        <v>0</v>
      </c>
      <c r="W92" s="16">
        <f t="shared" si="4"/>
        <v>1</v>
      </c>
      <c r="X92" s="14" t="str">
        <f t="shared" si="5"/>
        <v>Offensive</v>
      </c>
      <c r="Y92" s="17">
        <f t="shared" si="6"/>
        <v>2.309401077</v>
      </c>
    </row>
    <row r="93">
      <c r="A93" s="7" t="s">
        <v>465</v>
      </c>
      <c r="B93" s="8" t="s">
        <v>466</v>
      </c>
      <c r="C93" s="9" t="s">
        <v>467</v>
      </c>
      <c r="D93" s="9" t="s">
        <v>83</v>
      </c>
      <c r="E93" s="10" t="s">
        <v>84</v>
      </c>
      <c r="F93" s="18" t="s">
        <v>44</v>
      </c>
      <c r="G93" s="12" t="s">
        <v>45</v>
      </c>
      <c r="H93" s="12" t="s">
        <v>45</v>
      </c>
      <c r="I93" s="19" t="s">
        <v>31</v>
      </c>
      <c r="J93" s="13" t="s">
        <v>45</v>
      </c>
      <c r="K93" s="14" t="s">
        <v>33</v>
      </c>
      <c r="L93" s="14" t="s">
        <v>61</v>
      </c>
      <c r="M93" s="14" t="s">
        <v>47</v>
      </c>
      <c r="N93" s="15" t="s">
        <v>48</v>
      </c>
      <c r="O93" s="14" t="s">
        <v>42</v>
      </c>
      <c r="P93" s="14" t="s">
        <v>48</v>
      </c>
      <c r="Q93" s="14" t="s">
        <v>43</v>
      </c>
      <c r="R93" s="14" t="s">
        <v>48</v>
      </c>
      <c r="S93" s="14" t="s">
        <v>42</v>
      </c>
      <c r="T93" s="14">
        <f t="shared" si="1"/>
        <v>3</v>
      </c>
      <c r="U93" s="14">
        <f t="shared" si="2"/>
        <v>1</v>
      </c>
      <c r="V93" s="14">
        <f t="shared" si="3"/>
        <v>0</v>
      </c>
      <c r="W93" s="16">
        <f t="shared" si="4"/>
        <v>1</v>
      </c>
      <c r="X93" s="14" t="str">
        <f t="shared" si="5"/>
        <v>Normal</v>
      </c>
      <c r="Y93" s="17">
        <f t="shared" si="6"/>
        <v>1.527525232</v>
      </c>
    </row>
    <row r="94">
      <c r="A94" s="7" t="s">
        <v>468</v>
      </c>
      <c r="B94" s="8" t="s">
        <v>469</v>
      </c>
      <c r="C94" s="9" t="s">
        <v>470</v>
      </c>
      <c r="D94" s="9" t="s">
        <v>83</v>
      </c>
      <c r="E94" s="10" t="s">
        <v>83</v>
      </c>
      <c r="F94" s="11" t="s">
        <v>121</v>
      </c>
      <c r="G94" s="12" t="s">
        <v>31</v>
      </c>
      <c r="H94" s="12" t="s">
        <v>31</v>
      </c>
      <c r="I94" s="12" t="s">
        <v>31</v>
      </c>
      <c r="J94" s="13" t="s">
        <v>31</v>
      </c>
      <c r="K94" s="14" t="s">
        <v>33</v>
      </c>
      <c r="L94" s="14" t="s">
        <v>34</v>
      </c>
      <c r="M94" s="14" t="s">
        <v>47</v>
      </c>
      <c r="N94" s="15" t="s">
        <v>36</v>
      </c>
      <c r="O94" s="14" t="s">
        <v>83</v>
      </c>
      <c r="P94" s="14" t="s">
        <v>49</v>
      </c>
      <c r="Q94" s="14" t="s">
        <v>83</v>
      </c>
      <c r="R94" s="14" t="s">
        <v>49</v>
      </c>
      <c r="S94" s="14" t="s">
        <v>471</v>
      </c>
      <c r="T94" s="14">
        <f t="shared" si="1"/>
        <v>0</v>
      </c>
      <c r="U94" s="14">
        <f t="shared" si="2"/>
        <v>4</v>
      </c>
      <c r="V94" s="14">
        <f t="shared" si="3"/>
        <v>0</v>
      </c>
      <c r="W94" s="16">
        <f t="shared" si="4"/>
        <v>1</v>
      </c>
      <c r="X94" s="14" t="str">
        <f t="shared" si="5"/>
        <v>Offensive</v>
      </c>
      <c r="Y94" s="17">
        <f t="shared" si="6"/>
        <v>2.309401077</v>
      </c>
    </row>
    <row r="95">
      <c r="A95" s="7" t="s">
        <v>472</v>
      </c>
      <c r="B95" s="8" t="s">
        <v>473</v>
      </c>
      <c r="C95" s="9" t="s">
        <v>474</v>
      </c>
      <c r="D95" s="9" t="s">
        <v>83</v>
      </c>
      <c r="E95" s="10" t="s">
        <v>475</v>
      </c>
      <c r="F95" s="11" t="s">
        <v>464</v>
      </c>
      <c r="G95" s="12" t="s">
        <v>31</v>
      </c>
      <c r="H95" s="12" t="s">
        <v>31</v>
      </c>
      <c r="I95" s="19" t="s">
        <v>31</v>
      </c>
      <c r="J95" s="13" t="s">
        <v>31</v>
      </c>
      <c r="K95" s="14" t="s">
        <v>33</v>
      </c>
      <c r="L95" s="14" t="s">
        <v>46</v>
      </c>
      <c r="M95" s="14" t="s">
        <v>47</v>
      </c>
      <c r="N95" s="15" t="s">
        <v>49</v>
      </c>
      <c r="O95" s="14" t="s">
        <v>476</v>
      </c>
      <c r="P95" s="14" t="s">
        <v>49</v>
      </c>
      <c r="Q95" s="14" t="s">
        <v>83</v>
      </c>
      <c r="R95" s="14" t="s">
        <v>49</v>
      </c>
      <c r="S95" s="14" t="s">
        <v>83</v>
      </c>
      <c r="T95" s="14">
        <f t="shared" si="1"/>
        <v>0</v>
      </c>
      <c r="U95" s="14">
        <f t="shared" si="2"/>
        <v>4</v>
      </c>
      <c r="V95" s="14">
        <f t="shared" si="3"/>
        <v>0</v>
      </c>
      <c r="W95" s="16">
        <f t="shared" si="4"/>
        <v>1</v>
      </c>
      <c r="X95" s="14" t="str">
        <f t="shared" si="5"/>
        <v>Offensive</v>
      </c>
      <c r="Y95" s="17">
        <f t="shared" si="6"/>
        <v>2.309401077</v>
      </c>
    </row>
    <row r="96">
      <c r="A96" s="7" t="s">
        <v>477</v>
      </c>
      <c r="B96" s="8" t="s">
        <v>478</v>
      </c>
      <c r="C96" s="9" t="s">
        <v>479</v>
      </c>
      <c r="D96" s="9" t="s">
        <v>72</v>
      </c>
      <c r="E96" s="10" t="s">
        <v>72</v>
      </c>
      <c r="F96" s="11" t="s">
        <v>73</v>
      </c>
      <c r="G96" s="12" t="s">
        <v>31</v>
      </c>
      <c r="H96" s="12" t="s">
        <v>32</v>
      </c>
      <c r="I96" s="19" t="s">
        <v>32</v>
      </c>
      <c r="J96" s="13" t="s">
        <v>32</v>
      </c>
      <c r="K96" s="14" t="s">
        <v>33</v>
      </c>
      <c r="L96" s="14" t="s">
        <v>55</v>
      </c>
      <c r="M96" s="14" t="s">
        <v>35</v>
      </c>
      <c r="N96" s="15" t="s">
        <v>36</v>
      </c>
      <c r="O96" s="14" t="s">
        <v>72</v>
      </c>
      <c r="P96" s="14" t="s">
        <v>36</v>
      </c>
      <c r="Q96" s="14" t="s">
        <v>72</v>
      </c>
      <c r="R96" s="14" t="s">
        <v>36</v>
      </c>
      <c r="S96" s="14" t="s">
        <v>72</v>
      </c>
      <c r="T96" s="14">
        <f t="shared" si="1"/>
        <v>0</v>
      </c>
      <c r="U96" s="14">
        <f t="shared" si="2"/>
        <v>1</v>
      </c>
      <c r="V96" s="14">
        <f t="shared" si="3"/>
        <v>3</v>
      </c>
      <c r="W96" s="16">
        <f t="shared" si="4"/>
        <v>1</v>
      </c>
      <c r="X96" s="14" t="str">
        <f t="shared" si="5"/>
        <v>Hate Speech</v>
      </c>
      <c r="Y96" s="17">
        <f t="shared" si="6"/>
        <v>1.527525232</v>
      </c>
    </row>
    <row r="97">
      <c r="A97" s="7" t="s">
        <v>480</v>
      </c>
      <c r="B97" s="8" t="s">
        <v>481</v>
      </c>
      <c r="C97" s="9" t="s">
        <v>482</v>
      </c>
      <c r="D97" s="9" t="s">
        <v>42</v>
      </c>
      <c r="E97" s="10" t="s">
        <v>42</v>
      </c>
      <c r="F97" s="18" t="s">
        <v>44</v>
      </c>
      <c r="G97" s="22"/>
      <c r="H97" s="12" t="s">
        <v>45</v>
      </c>
      <c r="I97" s="19" t="s">
        <v>45</v>
      </c>
      <c r="J97" s="13" t="s">
        <v>45</v>
      </c>
      <c r="K97" s="14" t="s">
        <v>33</v>
      </c>
      <c r="L97" s="14" t="s">
        <v>61</v>
      </c>
      <c r="M97" s="14" t="s">
        <v>47</v>
      </c>
      <c r="N97" s="15" t="s">
        <v>48</v>
      </c>
      <c r="O97" s="14" t="s">
        <v>42</v>
      </c>
      <c r="P97" s="14" t="s">
        <v>48</v>
      </c>
      <c r="Q97" s="14" t="s">
        <v>42</v>
      </c>
      <c r="R97" s="14" t="s">
        <v>48</v>
      </c>
      <c r="S97" s="14" t="s">
        <v>42</v>
      </c>
      <c r="T97" s="14">
        <f t="shared" si="1"/>
        <v>3</v>
      </c>
      <c r="U97" s="14">
        <f t="shared" si="2"/>
        <v>0</v>
      </c>
      <c r="V97" s="14">
        <f t="shared" si="3"/>
        <v>0</v>
      </c>
      <c r="W97" s="16">
        <f t="shared" si="4"/>
        <v>0.75</v>
      </c>
      <c r="X97" s="14" t="str">
        <f t="shared" si="5"/>
        <v>Normal</v>
      </c>
      <c r="Y97" s="17">
        <f t="shared" si="6"/>
        <v>1.732050808</v>
      </c>
    </row>
    <row r="98">
      <c r="A98" s="7" t="s">
        <v>483</v>
      </c>
      <c r="B98" s="8" t="s">
        <v>484</v>
      </c>
      <c r="C98" s="9" t="s">
        <v>485</v>
      </c>
      <c r="D98" s="9" t="s">
        <v>42</v>
      </c>
      <c r="E98" s="10" t="s">
        <v>42</v>
      </c>
      <c r="F98" s="18" t="s">
        <v>44</v>
      </c>
      <c r="G98" s="12" t="s">
        <v>45</v>
      </c>
      <c r="H98" s="12" t="s">
        <v>45</v>
      </c>
      <c r="I98" s="12" t="s">
        <v>31</v>
      </c>
      <c r="J98" s="13" t="s">
        <v>45</v>
      </c>
      <c r="K98" s="14" t="s">
        <v>33</v>
      </c>
      <c r="L98" s="14" t="s">
        <v>34</v>
      </c>
      <c r="M98" s="14" t="s">
        <v>35</v>
      </c>
      <c r="N98" s="15" t="s">
        <v>48</v>
      </c>
      <c r="O98" s="14" t="s">
        <v>42</v>
      </c>
      <c r="P98" s="14" t="s">
        <v>48</v>
      </c>
      <c r="Q98" s="14" t="s">
        <v>42</v>
      </c>
      <c r="R98" s="14" t="s">
        <v>48</v>
      </c>
      <c r="S98" s="14" t="s">
        <v>42</v>
      </c>
      <c r="T98" s="14">
        <f t="shared" si="1"/>
        <v>3</v>
      </c>
      <c r="U98" s="14">
        <f t="shared" si="2"/>
        <v>1</v>
      </c>
      <c r="V98" s="14">
        <f t="shared" si="3"/>
        <v>0</v>
      </c>
      <c r="W98" s="16">
        <f t="shared" si="4"/>
        <v>1</v>
      </c>
      <c r="X98" s="14" t="str">
        <f t="shared" si="5"/>
        <v>Normal</v>
      </c>
      <c r="Y98" s="17">
        <f t="shared" si="6"/>
        <v>1.527525232</v>
      </c>
    </row>
    <row r="99">
      <c r="A99" s="7" t="s">
        <v>486</v>
      </c>
      <c r="B99" s="8" t="s">
        <v>487</v>
      </c>
      <c r="C99" s="9" t="s">
        <v>488</v>
      </c>
      <c r="D99" s="9" t="s">
        <v>42</v>
      </c>
      <c r="E99" s="10" t="s">
        <v>181</v>
      </c>
      <c r="F99" s="18" t="s">
        <v>44</v>
      </c>
      <c r="G99" s="12" t="s">
        <v>31</v>
      </c>
      <c r="H99" s="12" t="s">
        <v>45</v>
      </c>
      <c r="I99" s="19" t="s">
        <v>31</v>
      </c>
      <c r="J99" s="13" t="s">
        <v>45</v>
      </c>
      <c r="K99" s="14" t="s">
        <v>33</v>
      </c>
      <c r="L99" s="14" t="s">
        <v>46</v>
      </c>
      <c r="M99" s="14" t="s">
        <v>47</v>
      </c>
      <c r="N99" s="15" t="s">
        <v>48</v>
      </c>
      <c r="O99" s="14" t="s">
        <v>42</v>
      </c>
      <c r="P99" s="14" t="s">
        <v>48</v>
      </c>
      <c r="Q99" s="14" t="s">
        <v>42</v>
      </c>
      <c r="R99" s="14" t="s">
        <v>48</v>
      </c>
      <c r="S99" s="14" t="s">
        <v>42</v>
      </c>
      <c r="T99" s="14">
        <f t="shared" si="1"/>
        <v>2</v>
      </c>
      <c r="U99" s="14">
        <f t="shared" si="2"/>
        <v>2</v>
      </c>
      <c r="V99" s="14">
        <f t="shared" si="3"/>
        <v>0</v>
      </c>
      <c r="W99" s="16">
        <f t="shared" si="4"/>
        <v>1</v>
      </c>
      <c r="X99" s="14" t="b">
        <f t="shared" si="5"/>
        <v>0</v>
      </c>
      <c r="Y99" s="17">
        <f t="shared" si="6"/>
        <v>1.154700538</v>
      </c>
    </row>
    <row r="100">
      <c r="A100" s="7" t="s">
        <v>489</v>
      </c>
      <c r="B100" s="8" t="s">
        <v>490</v>
      </c>
      <c r="C100" s="9" t="s">
        <v>491</v>
      </c>
      <c r="D100" s="9" t="s">
        <v>37</v>
      </c>
      <c r="E100" s="10" t="s">
        <v>53</v>
      </c>
      <c r="F100" s="11" t="s">
        <v>54</v>
      </c>
      <c r="G100" s="12" t="s">
        <v>45</v>
      </c>
      <c r="H100" s="12" t="s">
        <v>31</v>
      </c>
      <c r="I100" s="19" t="s">
        <v>32</v>
      </c>
      <c r="J100" s="13" t="s">
        <v>32</v>
      </c>
      <c r="K100" s="14" t="s">
        <v>33</v>
      </c>
      <c r="L100" s="14" t="s">
        <v>55</v>
      </c>
      <c r="M100" s="14" t="s">
        <v>35</v>
      </c>
      <c r="N100" s="15" t="s">
        <v>48</v>
      </c>
      <c r="O100" s="14" t="s">
        <v>183</v>
      </c>
      <c r="P100" s="14" t="s">
        <v>48</v>
      </c>
      <c r="Q100" s="14" t="s">
        <v>37</v>
      </c>
      <c r="R100" s="14" t="s">
        <v>48</v>
      </c>
      <c r="S100" s="14" t="s">
        <v>37</v>
      </c>
      <c r="T100" s="14">
        <f t="shared" si="1"/>
        <v>1</v>
      </c>
      <c r="U100" s="14">
        <f t="shared" si="2"/>
        <v>1</v>
      </c>
      <c r="V100" s="14">
        <f t="shared" si="3"/>
        <v>2</v>
      </c>
      <c r="W100" s="16">
        <f t="shared" si="4"/>
        <v>1</v>
      </c>
      <c r="X100" s="14" t="b">
        <f t="shared" si="5"/>
        <v>0</v>
      </c>
      <c r="Y100" s="17">
        <f t="shared" si="6"/>
        <v>0.5773502692</v>
      </c>
    </row>
    <row r="101">
      <c r="A101" s="7" t="s">
        <v>492</v>
      </c>
      <c r="B101" s="8" t="s">
        <v>493</v>
      </c>
      <c r="C101" s="9" t="s">
        <v>494</v>
      </c>
      <c r="D101" s="9" t="s">
        <v>42</v>
      </c>
      <c r="E101" s="10" t="s">
        <v>495</v>
      </c>
      <c r="F101" s="11" t="s">
        <v>43</v>
      </c>
      <c r="G101" s="22"/>
      <c r="H101" s="12" t="s">
        <v>45</v>
      </c>
      <c r="I101" s="19" t="s">
        <v>31</v>
      </c>
      <c r="J101" s="13" t="s">
        <v>31</v>
      </c>
      <c r="K101" s="14" t="s">
        <v>33</v>
      </c>
      <c r="L101" s="14" t="s">
        <v>61</v>
      </c>
      <c r="M101" s="14" t="s">
        <v>47</v>
      </c>
      <c r="N101" s="15" t="s">
        <v>48</v>
      </c>
      <c r="O101" s="14" t="s">
        <v>42</v>
      </c>
      <c r="P101" s="14" t="s">
        <v>48</v>
      </c>
      <c r="Q101" s="14" t="s">
        <v>42</v>
      </c>
      <c r="R101" s="14" t="s">
        <v>48</v>
      </c>
      <c r="S101" s="14" t="s">
        <v>42</v>
      </c>
      <c r="T101" s="14">
        <f t="shared" si="1"/>
        <v>1</v>
      </c>
      <c r="U101" s="14">
        <f t="shared" si="2"/>
        <v>2</v>
      </c>
      <c r="V101" s="14">
        <f t="shared" si="3"/>
        <v>0</v>
      </c>
      <c r="W101" s="16">
        <f t="shared" si="4"/>
        <v>0.75</v>
      </c>
      <c r="X101" s="14" t="b">
        <f t="shared" si="5"/>
        <v>0</v>
      </c>
      <c r="Y101" s="17">
        <f t="shared" si="6"/>
        <v>1</v>
      </c>
    </row>
    <row r="102">
      <c r="A102" s="7" t="s">
        <v>496</v>
      </c>
      <c r="B102" s="8" t="s">
        <v>497</v>
      </c>
      <c r="C102" s="9" t="s">
        <v>498</v>
      </c>
      <c r="D102" s="9" t="s">
        <v>83</v>
      </c>
      <c r="E102" s="10" t="s">
        <v>499</v>
      </c>
      <c r="F102" s="11" t="s">
        <v>500</v>
      </c>
      <c r="G102" s="12" t="s">
        <v>31</v>
      </c>
      <c r="H102" s="12" t="s">
        <v>32</v>
      </c>
      <c r="I102" s="19" t="s">
        <v>32</v>
      </c>
      <c r="J102" s="13" t="s">
        <v>31</v>
      </c>
      <c r="K102" s="14" t="s">
        <v>34</v>
      </c>
      <c r="L102" s="14" t="s">
        <v>46</v>
      </c>
      <c r="M102" s="14" t="s">
        <v>35</v>
      </c>
      <c r="N102" s="15" t="s">
        <v>49</v>
      </c>
      <c r="O102" s="14" t="s">
        <v>105</v>
      </c>
      <c r="P102" s="14" t="s">
        <v>49</v>
      </c>
      <c r="Q102" s="14" t="s">
        <v>83</v>
      </c>
      <c r="R102" s="14" t="s">
        <v>49</v>
      </c>
      <c r="S102" s="14" t="s">
        <v>120</v>
      </c>
      <c r="T102" s="14">
        <f t="shared" si="1"/>
        <v>0</v>
      </c>
      <c r="U102" s="14">
        <f t="shared" si="2"/>
        <v>2</v>
      </c>
      <c r="V102" s="14">
        <f t="shared" si="3"/>
        <v>2</v>
      </c>
      <c r="W102" s="16">
        <f t="shared" si="4"/>
        <v>1</v>
      </c>
      <c r="X102" s="14" t="b">
        <f t="shared" si="5"/>
        <v>0</v>
      </c>
      <c r="Y102" s="17">
        <f t="shared" si="6"/>
        <v>1.154700538</v>
      </c>
    </row>
    <row r="103">
      <c r="A103" s="7" t="s">
        <v>501</v>
      </c>
      <c r="B103" s="8" t="s">
        <v>502</v>
      </c>
      <c r="C103" s="9" t="s">
        <v>503</v>
      </c>
      <c r="D103" s="9" t="s">
        <v>459</v>
      </c>
      <c r="E103" s="10" t="s">
        <v>53</v>
      </c>
      <c r="F103" s="11" t="s">
        <v>504</v>
      </c>
      <c r="G103" s="12" t="s">
        <v>31</v>
      </c>
      <c r="H103" s="12" t="s">
        <v>32</v>
      </c>
      <c r="I103" s="19" t="s">
        <v>32</v>
      </c>
      <c r="J103" s="13" t="s">
        <v>32</v>
      </c>
      <c r="K103" s="14" t="s">
        <v>34</v>
      </c>
      <c r="L103" s="14" t="s">
        <v>55</v>
      </c>
      <c r="M103" s="14" t="s">
        <v>35</v>
      </c>
      <c r="N103" s="15" t="s">
        <v>49</v>
      </c>
      <c r="O103" s="14" t="s">
        <v>43</v>
      </c>
      <c r="P103" s="14" t="s">
        <v>49</v>
      </c>
      <c r="Q103" s="14" t="s">
        <v>95</v>
      </c>
      <c r="R103" s="14" t="s">
        <v>36</v>
      </c>
      <c r="S103" s="14" t="s">
        <v>37</v>
      </c>
      <c r="T103" s="14">
        <f t="shared" si="1"/>
        <v>0</v>
      </c>
      <c r="U103" s="14">
        <f t="shared" si="2"/>
        <v>1</v>
      </c>
      <c r="V103" s="14">
        <f t="shared" si="3"/>
        <v>3</v>
      </c>
      <c r="W103" s="16">
        <f t="shared" si="4"/>
        <v>1</v>
      </c>
      <c r="X103" s="14" t="str">
        <f t="shared" si="5"/>
        <v>Hate Speech</v>
      </c>
      <c r="Y103" s="17">
        <f t="shared" si="6"/>
        <v>1.527525232</v>
      </c>
    </row>
    <row r="104">
      <c r="A104" s="7" t="s">
        <v>505</v>
      </c>
      <c r="B104" s="8" t="s">
        <v>506</v>
      </c>
      <c r="C104" s="9" t="s">
        <v>507</v>
      </c>
      <c r="D104" s="9" t="s">
        <v>374</v>
      </c>
      <c r="E104" s="10" t="s">
        <v>43</v>
      </c>
      <c r="F104" s="11" t="s">
        <v>189</v>
      </c>
      <c r="G104" s="12" t="s">
        <v>31</v>
      </c>
      <c r="H104" s="12" t="s">
        <v>31</v>
      </c>
      <c r="I104" s="19" t="s">
        <v>32</v>
      </c>
      <c r="J104" s="13" t="s">
        <v>32</v>
      </c>
      <c r="K104" s="14" t="s">
        <v>34</v>
      </c>
      <c r="L104" s="14" t="s">
        <v>61</v>
      </c>
      <c r="M104" s="14" t="s">
        <v>47</v>
      </c>
      <c r="N104" s="15" t="s">
        <v>36</v>
      </c>
      <c r="O104" s="14" t="s">
        <v>283</v>
      </c>
      <c r="P104" s="14" t="s">
        <v>49</v>
      </c>
      <c r="Q104" s="14" t="s">
        <v>508</v>
      </c>
      <c r="R104" s="14" t="s">
        <v>48</v>
      </c>
      <c r="S104" s="14" t="s">
        <v>42</v>
      </c>
      <c r="T104" s="14">
        <f t="shared" si="1"/>
        <v>0</v>
      </c>
      <c r="U104" s="14">
        <f t="shared" si="2"/>
        <v>2</v>
      </c>
      <c r="V104" s="14">
        <f t="shared" si="3"/>
        <v>2</v>
      </c>
      <c r="W104" s="16">
        <f t="shared" si="4"/>
        <v>1</v>
      </c>
      <c r="X104" s="14" t="b">
        <f t="shared" si="5"/>
        <v>0</v>
      </c>
      <c r="Y104" s="17">
        <f t="shared" si="6"/>
        <v>1.154700538</v>
      </c>
    </row>
    <row r="105">
      <c r="A105" s="7" t="s">
        <v>509</v>
      </c>
      <c r="B105" s="8" t="s">
        <v>510</v>
      </c>
      <c r="C105" s="9" t="s">
        <v>511</v>
      </c>
      <c r="D105" s="9" t="s">
        <v>66</v>
      </c>
      <c r="E105" s="10" t="s">
        <v>114</v>
      </c>
      <c r="F105" s="11" t="s">
        <v>155</v>
      </c>
      <c r="G105" s="12" t="s">
        <v>31</v>
      </c>
      <c r="H105" s="12"/>
      <c r="I105" s="19" t="s">
        <v>32</v>
      </c>
      <c r="J105" s="13" t="s">
        <v>32</v>
      </c>
      <c r="K105" s="14" t="s">
        <v>34</v>
      </c>
      <c r="L105" s="14" t="s">
        <v>33</v>
      </c>
      <c r="M105" s="14" t="s">
        <v>35</v>
      </c>
      <c r="N105" s="15" t="s">
        <v>49</v>
      </c>
      <c r="O105" s="14" t="s">
        <v>443</v>
      </c>
      <c r="P105" s="14" t="s">
        <v>36</v>
      </c>
      <c r="Q105" s="14" t="s">
        <v>115</v>
      </c>
      <c r="R105" s="14" t="s">
        <v>49</v>
      </c>
      <c r="S105" s="14" t="s">
        <v>115</v>
      </c>
      <c r="T105" s="14">
        <f t="shared" si="1"/>
        <v>0</v>
      </c>
      <c r="U105" s="14">
        <f t="shared" si="2"/>
        <v>1</v>
      </c>
      <c r="V105" s="14">
        <f t="shared" si="3"/>
        <v>2</v>
      </c>
      <c r="W105" s="16">
        <f t="shared" si="4"/>
        <v>0.75</v>
      </c>
      <c r="X105" s="14" t="b">
        <f t="shared" si="5"/>
        <v>0</v>
      </c>
      <c r="Y105" s="17">
        <f t="shared" si="6"/>
        <v>1</v>
      </c>
    </row>
    <row r="106">
      <c r="A106" s="7" t="s">
        <v>512</v>
      </c>
      <c r="B106" s="8" t="s">
        <v>513</v>
      </c>
      <c r="C106" s="9" t="s">
        <v>514</v>
      </c>
      <c r="D106" s="9" t="s">
        <v>42</v>
      </c>
      <c r="E106" s="10" t="s">
        <v>181</v>
      </c>
      <c r="F106" s="18" t="s">
        <v>44</v>
      </c>
      <c r="G106" s="12" t="s">
        <v>45</v>
      </c>
      <c r="H106" s="12" t="s">
        <v>31</v>
      </c>
      <c r="I106" s="19" t="s">
        <v>31</v>
      </c>
      <c r="J106" s="13" t="s">
        <v>45</v>
      </c>
      <c r="K106" s="14" t="s">
        <v>34</v>
      </c>
      <c r="L106" s="14" t="s">
        <v>46</v>
      </c>
      <c r="M106" s="14" t="s">
        <v>47</v>
      </c>
      <c r="N106" s="15" t="s">
        <v>48</v>
      </c>
      <c r="O106" s="14" t="s">
        <v>42</v>
      </c>
      <c r="P106" s="14" t="s">
        <v>48</v>
      </c>
      <c r="Q106" s="14" t="s">
        <v>42</v>
      </c>
      <c r="R106" s="14" t="s">
        <v>48</v>
      </c>
      <c r="S106" s="14" t="s">
        <v>515</v>
      </c>
      <c r="T106" s="14">
        <f t="shared" si="1"/>
        <v>2</v>
      </c>
      <c r="U106" s="14">
        <f t="shared" si="2"/>
        <v>2</v>
      </c>
      <c r="V106" s="14">
        <f t="shared" si="3"/>
        <v>0</v>
      </c>
      <c r="W106" s="16">
        <f t="shared" si="4"/>
        <v>1</v>
      </c>
      <c r="X106" s="14" t="b">
        <f t="shared" si="5"/>
        <v>0</v>
      </c>
      <c r="Y106" s="17">
        <f t="shared" si="6"/>
        <v>1.154700538</v>
      </c>
    </row>
    <row r="107">
      <c r="A107" s="7" t="s">
        <v>516</v>
      </c>
      <c r="B107" s="8" t="s">
        <v>517</v>
      </c>
      <c r="C107" s="9" t="s">
        <v>518</v>
      </c>
      <c r="D107" s="9" t="s">
        <v>263</v>
      </c>
      <c r="E107" s="10" t="s">
        <v>264</v>
      </c>
      <c r="F107" s="11" t="s">
        <v>265</v>
      </c>
      <c r="G107" s="12" t="s">
        <v>31</v>
      </c>
      <c r="H107" s="12" t="s">
        <v>31</v>
      </c>
      <c r="I107" s="19" t="s">
        <v>32</v>
      </c>
      <c r="J107" s="13" t="s">
        <v>32</v>
      </c>
      <c r="K107" s="14" t="s">
        <v>34</v>
      </c>
      <c r="L107" s="14" t="s">
        <v>55</v>
      </c>
      <c r="M107" s="14" t="s">
        <v>35</v>
      </c>
      <c r="N107" s="15" t="s">
        <v>49</v>
      </c>
      <c r="O107" s="14" t="s">
        <v>191</v>
      </c>
      <c r="P107" s="14" t="s">
        <v>49</v>
      </c>
      <c r="Q107" s="14" t="s">
        <v>191</v>
      </c>
      <c r="R107" s="14" t="s">
        <v>49</v>
      </c>
      <c r="S107" s="14" t="s">
        <v>191</v>
      </c>
      <c r="T107" s="14">
        <f t="shared" si="1"/>
        <v>0</v>
      </c>
      <c r="U107" s="14">
        <f t="shared" si="2"/>
        <v>2</v>
      </c>
      <c r="V107" s="14">
        <f t="shared" si="3"/>
        <v>2</v>
      </c>
      <c r="W107" s="16">
        <f t="shared" si="4"/>
        <v>1</v>
      </c>
      <c r="X107" s="14" t="b">
        <f t="shared" si="5"/>
        <v>0</v>
      </c>
      <c r="Y107" s="17">
        <f t="shared" si="6"/>
        <v>1.154700538</v>
      </c>
    </row>
    <row r="108">
      <c r="A108" s="7" t="s">
        <v>519</v>
      </c>
      <c r="B108" s="8" t="s">
        <v>520</v>
      </c>
      <c r="C108" s="9" t="s">
        <v>521</v>
      </c>
      <c r="D108" s="9" t="s">
        <v>225</v>
      </c>
      <c r="E108" s="10" t="s">
        <v>104</v>
      </c>
      <c r="F108" s="11" t="s">
        <v>43</v>
      </c>
      <c r="G108" s="12" t="s">
        <v>31</v>
      </c>
      <c r="H108" s="12" t="s">
        <v>45</v>
      </c>
      <c r="I108" s="19" t="s">
        <v>31</v>
      </c>
      <c r="J108" s="13" t="s">
        <v>31</v>
      </c>
      <c r="K108" s="14" t="s">
        <v>34</v>
      </c>
      <c r="L108" s="14" t="s">
        <v>61</v>
      </c>
      <c r="M108" s="14" t="s">
        <v>47</v>
      </c>
      <c r="N108" s="15" t="s">
        <v>49</v>
      </c>
      <c r="O108" s="14" t="s">
        <v>43</v>
      </c>
      <c r="P108" s="14" t="s">
        <v>49</v>
      </c>
      <c r="Q108" s="14" t="s">
        <v>43</v>
      </c>
      <c r="R108" s="14" t="s">
        <v>49</v>
      </c>
      <c r="S108" s="14" t="s">
        <v>43</v>
      </c>
      <c r="T108" s="14">
        <f t="shared" si="1"/>
        <v>1</v>
      </c>
      <c r="U108" s="14">
        <f t="shared" si="2"/>
        <v>3</v>
      </c>
      <c r="V108" s="14">
        <f t="shared" si="3"/>
        <v>0</v>
      </c>
      <c r="W108" s="16">
        <f t="shared" si="4"/>
        <v>1</v>
      </c>
      <c r="X108" s="14" t="str">
        <f t="shared" si="5"/>
        <v>Offensive</v>
      </c>
      <c r="Y108" s="17">
        <f t="shared" si="6"/>
        <v>1.527525232</v>
      </c>
    </row>
    <row r="109">
      <c r="A109" s="7" t="s">
        <v>522</v>
      </c>
      <c r="B109" s="8" t="s">
        <v>523</v>
      </c>
      <c r="C109" s="9" t="s">
        <v>524</v>
      </c>
      <c r="D109" s="9" t="s">
        <v>42</v>
      </c>
      <c r="E109" s="10" t="s">
        <v>181</v>
      </c>
      <c r="F109" s="18" t="s">
        <v>44</v>
      </c>
      <c r="G109" s="12" t="s">
        <v>45</v>
      </c>
      <c r="H109" s="12" t="s">
        <v>45</v>
      </c>
      <c r="I109" s="19" t="s">
        <v>45</v>
      </c>
      <c r="J109" s="13" t="s">
        <v>45</v>
      </c>
      <c r="K109" s="14" t="s">
        <v>34</v>
      </c>
      <c r="L109" s="14" t="s">
        <v>33</v>
      </c>
      <c r="M109" s="14" t="s">
        <v>35</v>
      </c>
      <c r="N109" s="15" t="s">
        <v>48</v>
      </c>
      <c r="O109" s="14" t="s">
        <v>42</v>
      </c>
      <c r="P109" s="14" t="s">
        <v>48</v>
      </c>
      <c r="Q109" s="14" t="s">
        <v>42</v>
      </c>
      <c r="R109" s="14" t="s">
        <v>48</v>
      </c>
      <c r="S109" s="14" t="s">
        <v>42</v>
      </c>
      <c r="T109" s="14">
        <f t="shared" si="1"/>
        <v>4</v>
      </c>
      <c r="U109" s="14">
        <f t="shared" si="2"/>
        <v>0</v>
      </c>
      <c r="V109" s="14">
        <f t="shared" si="3"/>
        <v>0</v>
      </c>
      <c r="W109" s="16">
        <f t="shared" si="4"/>
        <v>1</v>
      </c>
      <c r="X109" s="14" t="str">
        <f t="shared" si="5"/>
        <v>Normal</v>
      </c>
      <c r="Y109" s="17">
        <f t="shared" si="6"/>
        <v>2.309401077</v>
      </c>
    </row>
    <row r="110">
      <c r="A110" s="7" t="s">
        <v>525</v>
      </c>
      <c r="B110" s="8" t="s">
        <v>526</v>
      </c>
      <c r="C110" s="9" t="s">
        <v>527</v>
      </c>
      <c r="D110" s="9" t="s">
        <v>83</v>
      </c>
      <c r="E110" s="10" t="s">
        <v>121</v>
      </c>
      <c r="F110" s="11" t="s">
        <v>464</v>
      </c>
      <c r="G110" s="12" t="s">
        <v>32</v>
      </c>
      <c r="H110" s="12" t="s">
        <v>32</v>
      </c>
      <c r="I110" s="19" t="s">
        <v>32</v>
      </c>
      <c r="J110" s="13" t="s">
        <v>32</v>
      </c>
      <c r="K110" s="14" t="s">
        <v>34</v>
      </c>
      <c r="L110" s="14" t="s">
        <v>46</v>
      </c>
      <c r="M110" s="14" t="s">
        <v>35</v>
      </c>
      <c r="N110" s="15" t="s">
        <v>36</v>
      </c>
      <c r="O110" s="14" t="s">
        <v>105</v>
      </c>
      <c r="P110" s="14" t="s">
        <v>36</v>
      </c>
      <c r="Q110" s="14" t="s">
        <v>83</v>
      </c>
      <c r="R110" s="14" t="s">
        <v>48</v>
      </c>
      <c r="S110" s="14" t="s">
        <v>42</v>
      </c>
      <c r="T110" s="14">
        <f t="shared" si="1"/>
        <v>0</v>
      </c>
      <c r="U110" s="14">
        <f t="shared" si="2"/>
        <v>0</v>
      </c>
      <c r="V110" s="14">
        <f t="shared" si="3"/>
        <v>4</v>
      </c>
      <c r="W110" s="16">
        <f t="shared" si="4"/>
        <v>1</v>
      </c>
      <c r="X110" s="14" t="str">
        <f t="shared" si="5"/>
        <v>Hate Speech</v>
      </c>
      <c r="Y110" s="17">
        <f t="shared" si="6"/>
        <v>2.309401077</v>
      </c>
    </row>
    <row r="111">
      <c r="A111" s="7" t="s">
        <v>528</v>
      </c>
      <c r="B111" s="8" t="s">
        <v>529</v>
      </c>
      <c r="C111" s="9" t="s">
        <v>530</v>
      </c>
      <c r="D111" s="9" t="s">
        <v>42</v>
      </c>
      <c r="E111" s="10" t="s">
        <v>62</v>
      </c>
      <c r="F111" s="18" t="s">
        <v>44</v>
      </c>
      <c r="G111" s="12" t="s">
        <v>45</v>
      </c>
      <c r="H111" s="12" t="s">
        <v>45</v>
      </c>
      <c r="I111" s="19" t="s">
        <v>31</v>
      </c>
      <c r="J111" s="13" t="s">
        <v>45</v>
      </c>
      <c r="K111" s="14" t="s">
        <v>34</v>
      </c>
      <c r="L111" s="14" t="s">
        <v>55</v>
      </c>
      <c r="M111" s="14" t="s">
        <v>47</v>
      </c>
      <c r="N111" s="15" t="s">
        <v>48</v>
      </c>
      <c r="O111" s="14" t="s">
        <v>531</v>
      </c>
      <c r="P111" s="14" t="s">
        <v>48</v>
      </c>
      <c r="Q111" s="14" t="s">
        <v>42</v>
      </c>
      <c r="R111" s="14" t="s">
        <v>49</v>
      </c>
      <c r="S111" s="14" t="s">
        <v>62</v>
      </c>
      <c r="T111" s="14">
        <f t="shared" si="1"/>
        <v>3</v>
      </c>
      <c r="U111" s="14">
        <f t="shared" si="2"/>
        <v>1</v>
      </c>
      <c r="V111" s="14">
        <f t="shared" si="3"/>
        <v>0</v>
      </c>
      <c r="W111" s="16">
        <f t="shared" si="4"/>
        <v>1</v>
      </c>
      <c r="X111" s="14" t="str">
        <f t="shared" si="5"/>
        <v>Normal</v>
      </c>
      <c r="Y111" s="17">
        <f t="shared" si="6"/>
        <v>1.527525232</v>
      </c>
    </row>
    <row r="112">
      <c r="A112" s="7" t="s">
        <v>532</v>
      </c>
      <c r="B112" s="8" t="s">
        <v>533</v>
      </c>
      <c r="C112" s="9" t="s">
        <v>534</v>
      </c>
      <c r="D112" s="9" t="s">
        <v>535</v>
      </c>
      <c r="E112" s="10" t="s">
        <v>536</v>
      </c>
      <c r="F112" s="18" t="s">
        <v>44</v>
      </c>
      <c r="G112" s="12" t="s">
        <v>31</v>
      </c>
      <c r="H112" s="12" t="s">
        <v>31</v>
      </c>
      <c r="I112" s="19" t="s">
        <v>31</v>
      </c>
      <c r="J112" s="13" t="s">
        <v>45</v>
      </c>
      <c r="K112" s="14" t="s">
        <v>34</v>
      </c>
      <c r="L112" s="14" t="s">
        <v>61</v>
      </c>
      <c r="M112" s="14" t="s">
        <v>35</v>
      </c>
      <c r="N112" s="15" t="s">
        <v>49</v>
      </c>
      <c r="O112" s="14" t="s">
        <v>105</v>
      </c>
      <c r="P112" s="14" t="s">
        <v>49</v>
      </c>
      <c r="Q112" s="14" t="s">
        <v>105</v>
      </c>
      <c r="R112" s="14" t="s">
        <v>49</v>
      </c>
      <c r="S112" s="14" t="s">
        <v>105</v>
      </c>
      <c r="T112" s="14">
        <f t="shared" si="1"/>
        <v>1</v>
      </c>
      <c r="U112" s="14">
        <f t="shared" si="2"/>
        <v>3</v>
      </c>
      <c r="V112" s="14">
        <f t="shared" si="3"/>
        <v>0</v>
      </c>
      <c r="W112" s="16">
        <f t="shared" si="4"/>
        <v>1</v>
      </c>
      <c r="X112" s="14" t="str">
        <f t="shared" si="5"/>
        <v>Offensive</v>
      </c>
      <c r="Y112" s="17">
        <f t="shared" si="6"/>
        <v>1.527525232</v>
      </c>
    </row>
    <row r="113">
      <c r="A113" s="7" t="s">
        <v>537</v>
      </c>
      <c r="B113" s="8" t="s">
        <v>538</v>
      </c>
      <c r="C113" s="9" t="s">
        <v>539</v>
      </c>
      <c r="D113" s="9" t="s">
        <v>66</v>
      </c>
      <c r="E113" s="10" t="s">
        <v>114</v>
      </c>
      <c r="F113" s="11" t="s">
        <v>155</v>
      </c>
      <c r="G113" s="12" t="s">
        <v>31</v>
      </c>
      <c r="H113" s="12" t="s">
        <v>45</v>
      </c>
      <c r="I113" s="19" t="s">
        <v>32</v>
      </c>
      <c r="J113" s="13" t="s">
        <v>32</v>
      </c>
      <c r="K113" s="14" t="s">
        <v>34</v>
      </c>
      <c r="L113" s="14" t="s">
        <v>33</v>
      </c>
      <c r="M113" s="14" t="s">
        <v>35</v>
      </c>
      <c r="N113" s="15" t="s">
        <v>49</v>
      </c>
      <c r="O113" s="14" t="s">
        <v>270</v>
      </c>
      <c r="P113" s="14" t="s">
        <v>48</v>
      </c>
      <c r="Q113" s="14" t="s">
        <v>115</v>
      </c>
      <c r="R113" s="14" t="s">
        <v>49</v>
      </c>
      <c r="S113" s="14" t="s">
        <v>270</v>
      </c>
      <c r="T113" s="14">
        <f t="shared" si="1"/>
        <v>1</v>
      </c>
      <c r="U113" s="14">
        <f t="shared" si="2"/>
        <v>1</v>
      </c>
      <c r="V113" s="14">
        <f t="shared" si="3"/>
        <v>2</v>
      </c>
      <c r="W113" s="16">
        <f t="shared" si="4"/>
        <v>1</v>
      </c>
      <c r="X113" s="14" t="b">
        <f t="shared" si="5"/>
        <v>0</v>
      </c>
      <c r="Y113" s="17">
        <f t="shared" si="6"/>
        <v>0.5773502692</v>
      </c>
    </row>
    <row r="114">
      <c r="A114" s="7" t="s">
        <v>540</v>
      </c>
      <c r="B114" s="8" t="s">
        <v>541</v>
      </c>
      <c r="C114" s="9" t="s">
        <v>542</v>
      </c>
      <c r="D114" s="9" t="s">
        <v>543</v>
      </c>
      <c r="E114" s="10" t="s">
        <v>110</v>
      </c>
      <c r="F114" s="11" t="s">
        <v>110</v>
      </c>
      <c r="G114" s="12" t="s">
        <v>31</v>
      </c>
      <c r="H114" s="12" t="s">
        <v>31</v>
      </c>
      <c r="I114" s="19" t="s">
        <v>31</v>
      </c>
      <c r="J114" s="13" t="s">
        <v>31</v>
      </c>
      <c r="K114" s="14" t="s">
        <v>34</v>
      </c>
      <c r="L114" s="14" t="s">
        <v>46</v>
      </c>
      <c r="M114" s="14" t="s">
        <v>47</v>
      </c>
      <c r="N114" s="15" t="s">
        <v>49</v>
      </c>
      <c r="O114" s="14" t="s">
        <v>544</v>
      </c>
      <c r="P114" s="14" t="s">
        <v>49</v>
      </c>
      <c r="Q114" s="14" t="s">
        <v>109</v>
      </c>
      <c r="R114" s="14" t="s">
        <v>49</v>
      </c>
      <c r="S114" s="14" t="s">
        <v>109</v>
      </c>
      <c r="T114" s="14">
        <f t="shared" si="1"/>
        <v>0</v>
      </c>
      <c r="U114" s="14">
        <f t="shared" si="2"/>
        <v>4</v>
      </c>
      <c r="V114" s="14">
        <f t="shared" si="3"/>
        <v>0</v>
      </c>
      <c r="W114" s="16">
        <f t="shared" si="4"/>
        <v>1</v>
      </c>
      <c r="X114" s="14" t="str">
        <f t="shared" si="5"/>
        <v>Offensive</v>
      </c>
      <c r="Y114" s="17">
        <f t="shared" si="6"/>
        <v>2.309401077</v>
      </c>
    </row>
    <row r="115">
      <c r="A115" s="7" t="s">
        <v>545</v>
      </c>
      <c r="B115" s="8" t="s">
        <v>546</v>
      </c>
      <c r="C115" s="9" t="s">
        <v>547</v>
      </c>
      <c r="D115" s="9" t="s">
        <v>283</v>
      </c>
      <c r="E115" s="10" t="s">
        <v>548</v>
      </c>
      <c r="F115" s="18" t="s">
        <v>44</v>
      </c>
      <c r="G115" s="12" t="s">
        <v>31</v>
      </c>
      <c r="H115" s="12" t="s">
        <v>45</v>
      </c>
      <c r="I115" s="19" t="s">
        <v>45</v>
      </c>
      <c r="J115" s="13" t="s">
        <v>45</v>
      </c>
      <c r="K115" s="14" t="s">
        <v>34</v>
      </c>
      <c r="L115" s="14" t="s">
        <v>55</v>
      </c>
      <c r="M115" s="14" t="s">
        <v>47</v>
      </c>
      <c r="N115" s="15" t="s">
        <v>48</v>
      </c>
      <c r="O115" s="14" t="s">
        <v>42</v>
      </c>
      <c r="P115" s="14" t="s">
        <v>48</v>
      </c>
      <c r="Q115" s="14" t="s">
        <v>42</v>
      </c>
      <c r="R115" s="14" t="s">
        <v>48</v>
      </c>
      <c r="S115" s="14" t="s">
        <v>42</v>
      </c>
      <c r="T115" s="14">
        <f t="shared" si="1"/>
        <v>3</v>
      </c>
      <c r="U115" s="14">
        <f t="shared" si="2"/>
        <v>1</v>
      </c>
      <c r="V115" s="14">
        <f t="shared" si="3"/>
        <v>0</v>
      </c>
      <c r="W115" s="16">
        <f t="shared" si="4"/>
        <v>1</v>
      </c>
      <c r="X115" s="14" t="str">
        <f t="shared" si="5"/>
        <v>Normal</v>
      </c>
      <c r="Y115" s="17">
        <f t="shared" si="6"/>
        <v>1.527525232</v>
      </c>
    </row>
    <row r="116">
      <c r="A116" s="7" t="s">
        <v>549</v>
      </c>
      <c r="B116" s="8" t="s">
        <v>550</v>
      </c>
      <c r="C116" s="9" t="s">
        <v>551</v>
      </c>
      <c r="D116" s="9" t="s">
        <v>42</v>
      </c>
      <c r="E116" s="10" t="s">
        <v>552</v>
      </c>
      <c r="F116" s="18" t="s">
        <v>44</v>
      </c>
      <c r="G116" s="12" t="s">
        <v>45</v>
      </c>
      <c r="H116" s="12" t="s">
        <v>45</v>
      </c>
      <c r="I116" s="19" t="s">
        <v>45</v>
      </c>
      <c r="J116" s="13" t="s">
        <v>45</v>
      </c>
      <c r="K116" s="14" t="s">
        <v>34</v>
      </c>
      <c r="L116" s="14" t="s">
        <v>61</v>
      </c>
      <c r="M116" s="14" t="s">
        <v>47</v>
      </c>
      <c r="N116" s="15" t="s">
        <v>48</v>
      </c>
      <c r="O116" s="14" t="s">
        <v>42</v>
      </c>
      <c r="P116" s="14" t="s">
        <v>48</v>
      </c>
      <c r="Q116" s="14" t="s">
        <v>105</v>
      </c>
      <c r="R116" s="14" t="s">
        <v>48</v>
      </c>
      <c r="S116" s="14" t="s">
        <v>42</v>
      </c>
      <c r="T116" s="14">
        <f t="shared" si="1"/>
        <v>4</v>
      </c>
      <c r="U116" s="14">
        <f t="shared" si="2"/>
        <v>0</v>
      </c>
      <c r="V116" s="14">
        <f t="shared" si="3"/>
        <v>0</v>
      </c>
      <c r="W116" s="16">
        <f t="shared" si="4"/>
        <v>1</v>
      </c>
      <c r="X116" s="14" t="str">
        <f t="shared" si="5"/>
        <v>Normal</v>
      </c>
      <c r="Y116" s="17">
        <f t="shared" si="6"/>
        <v>2.309401077</v>
      </c>
    </row>
    <row r="117">
      <c r="A117" s="7" t="s">
        <v>553</v>
      </c>
      <c r="B117" s="8" t="s">
        <v>554</v>
      </c>
      <c r="C117" s="9" t="s">
        <v>555</v>
      </c>
      <c r="D117" s="9" t="s">
        <v>42</v>
      </c>
      <c r="E117" s="10" t="s">
        <v>181</v>
      </c>
      <c r="F117" s="18" t="s">
        <v>44</v>
      </c>
      <c r="G117" s="12" t="s">
        <v>45</v>
      </c>
      <c r="H117" s="12"/>
      <c r="I117" s="19" t="s">
        <v>32</v>
      </c>
      <c r="J117" s="13" t="s">
        <v>45</v>
      </c>
      <c r="K117" s="14" t="s">
        <v>34</v>
      </c>
      <c r="L117" s="14" t="s">
        <v>33</v>
      </c>
      <c r="M117" s="14" t="s">
        <v>47</v>
      </c>
      <c r="N117" s="15" t="s">
        <v>49</v>
      </c>
      <c r="O117" s="14" t="s">
        <v>116</v>
      </c>
      <c r="P117" s="14" t="s">
        <v>48</v>
      </c>
      <c r="Q117" s="14" t="s">
        <v>183</v>
      </c>
      <c r="R117" s="14" t="s">
        <v>36</v>
      </c>
      <c r="S117" s="14" t="s">
        <v>115</v>
      </c>
      <c r="T117" s="14">
        <f t="shared" si="1"/>
        <v>2</v>
      </c>
      <c r="U117" s="14">
        <f t="shared" si="2"/>
        <v>0</v>
      </c>
      <c r="V117" s="14">
        <f t="shared" si="3"/>
        <v>1</v>
      </c>
      <c r="W117" s="16">
        <f t="shared" si="4"/>
        <v>0.75</v>
      </c>
      <c r="X117" s="14" t="b">
        <f t="shared" si="5"/>
        <v>0</v>
      </c>
      <c r="Y117" s="17">
        <f t="shared" si="6"/>
        <v>1</v>
      </c>
    </row>
    <row r="118">
      <c r="A118" s="7" t="s">
        <v>556</v>
      </c>
      <c r="B118" s="8" t="s">
        <v>557</v>
      </c>
      <c r="C118" s="9" t="s">
        <v>558</v>
      </c>
      <c r="D118" s="9" t="s">
        <v>77</v>
      </c>
      <c r="E118" s="10" t="s">
        <v>559</v>
      </c>
      <c r="F118" s="18" t="s">
        <v>44</v>
      </c>
      <c r="G118" s="12" t="s">
        <v>31</v>
      </c>
      <c r="H118" s="12" t="s">
        <v>31</v>
      </c>
      <c r="I118" s="19" t="s">
        <v>32</v>
      </c>
      <c r="J118" s="13" t="s">
        <v>45</v>
      </c>
      <c r="K118" s="14" t="s">
        <v>34</v>
      </c>
      <c r="L118" s="14" t="s">
        <v>46</v>
      </c>
      <c r="M118" s="14" t="s">
        <v>47</v>
      </c>
      <c r="N118" s="15" t="s">
        <v>48</v>
      </c>
      <c r="O118" s="14" t="s">
        <v>42</v>
      </c>
      <c r="P118" s="14" t="s">
        <v>48</v>
      </c>
      <c r="Q118" s="14" t="s">
        <v>42</v>
      </c>
      <c r="R118" s="14" t="s">
        <v>48</v>
      </c>
      <c r="S118" s="14" t="s">
        <v>42</v>
      </c>
      <c r="T118" s="14">
        <f t="shared" si="1"/>
        <v>1</v>
      </c>
      <c r="U118" s="14">
        <f t="shared" si="2"/>
        <v>2</v>
      </c>
      <c r="V118" s="14">
        <f t="shared" si="3"/>
        <v>1</v>
      </c>
      <c r="W118" s="16">
        <f t="shared" si="4"/>
        <v>1</v>
      </c>
      <c r="X118" s="14" t="b">
        <f t="shared" si="5"/>
        <v>0</v>
      </c>
      <c r="Y118" s="17">
        <f t="shared" si="6"/>
        <v>0.5773502692</v>
      </c>
    </row>
    <row r="119">
      <c r="A119" s="7" t="s">
        <v>560</v>
      </c>
      <c r="B119" s="8" t="s">
        <v>561</v>
      </c>
      <c r="C119" s="9" t="s">
        <v>562</v>
      </c>
      <c r="D119" s="9" t="s">
        <v>225</v>
      </c>
      <c r="E119" s="10" t="s">
        <v>225</v>
      </c>
      <c r="F119" s="11" t="s">
        <v>43</v>
      </c>
      <c r="G119" s="12" t="s">
        <v>31</v>
      </c>
      <c r="H119" s="12" t="s">
        <v>31</v>
      </c>
      <c r="I119" s="19" t="s">
        <v>31</v>
      </c>
      <c r="J119" s="13" t="s">
        <v>31</v>
      </c>
      <c r="K119" s="14" t="s">
        <v>34</v>
      </c>
      <c r="L119" s="14" t="s">
        <v>55</v>
      </c>
      <c r="M119" s="14" t="s">
        <v>47</v>
      </c>
      <c r="N119" s="15" t="s">
        <v>49</v>
      </c>
      <c r="O119" s="14" t="s">
        <v>105</v>
      </c>
      <c r="P119" s="14" t="s">
        <v>48</v>
      </c>
      <c r="Q119" s="14" t="s">
        <v>37</v>
      </c>
      <c r="R119" s="14" t="s">
        <v>49</v>
      </c>
      <c r="S119" s="14" t="s">
        <v>105</v>
      </c>
      <c r="T119" s="14">
        <f t="shared" si="1"/>
        <v>0</v>
      </c>
      <c r="U119" s="14">
        <f t="shared" si="2"/>
        <v>4</v>
      </c>
      <c r="V119" s="14">
        <f t="shared" si="3"/>
        <v>0</v>
      </c>
      <c r="W119" s="16">
        <f t="shared" si="4"/>
        <v>1</v>
      </c>
      <c r="X119" s="14" t="str">
        <f t="shared" si="5"/>
        <v>Offensive</v>
      </c>
      <c r="Y119" s="17">
        <f t="shared" si="6"/>
        <v>2.309401077</v>
      </c>
    </row>
    <row r="120">
      <c r="A120" s="7" t="s">
        <v>563</v>
      </c>
      <c r="B120" s="8" t="s">
        <v>564</v>
      </c>
      <c r="C120" s="9" t="s">
        <v>565</v>
      </c>
      <c r="D120" s="9" t="s">
        <v>566</v>
      </c>
      <c r="E120" s="10" t="s">
        <v>196</v>
      </c>
      <c r="F120" s="11" t="s">
        <v>567</v>
      </c>
      <c r="G120" s="12" t="s">
        <v>31</v>
      </c>
      <c r="H120" s="12" t="s">
        <v>31</v>
      </c>
      <c r="I120" s="19" t="s">
        <v>32</v>
      </c>
      <c r="J120" s="13" t="s">
        <v>32</v>
      </c>
      <c r="K120" s="14" t="s">
        <v>34</v>
      </c>
      <c r="L120" s="14" t="s">
        <v>61</v>
      </c>
      <c r="M120" s="14" t="s">
        <v>35</v>
      </c>
      <c r="N120" s="15" t="s">
        <v>49</v>
      </c>
      <c r="O120" s="14" t="s">
        <v>568</v>
      </c>
      <c r="P120" s="14" t="s">
        <v>49</v>
      </c>
      <c r="Q120" s="14" t="s">
        <v>138</v>
      </c>
      <c r="R120" s="14" t="s">
        <v>49</v>
      </c>
      <c r="S120" s="14" t="s">
        <v>43</v>
      </c>
      <c r="T120" s="14">
        <f t="shared" si="1"/>
        <v>0</v>
      </c>
      <c r="U120" s="14">
        <f t="shared" si="2"/>
        <v>2</v>
      </c>
      <c r="V120" s="14">
        <f t="shared" si="3"/>
        <v>2</v>
      </c>
      <c r="W120" s="16">
        <f t="shared" si="4"/>
        <v>1</v>
      </c>
      <c r="X120" s="14" t="b">
        <f t="shared" si="5"/>
        <v>0</v>
      </c>
      <c r="Y120" s="17">
        <f t="shared" si="6"/>
        <v>1.154700538</v>
      </c>
    </row>
    <row r="121">
      <c r="A121" s="7" t="s">
        <v>569</v>
      </c>
      <c r="B121" s="8" t="s">
        <v>570</v>
      </c>
      <c r="C121" s="9" t="s">
        <v>571</v>
      </c>
      <c r="D121" s="9" t="s">
        <v>42</v>
      </c>
      <c r="E121" s="10" t="s">
        <v>181</v>
      </c>
      <c r="F121" s="18" t="s">
        <v>44</v>
      </c>
      <c r="G121" s="12" t="s">
        <v>45</v>
      </c>
      <c r="H121" s="12" t="s">
        <v>45</v>
      </c>
      <c r="I121" s="19" t="s">
        <v>45</v>
      </c>
      <c r="J121" s="13" t="s">
        <v>45</v>
      </c>
      <c r="K121" s="14" t="s">
        <v>34</v>
      </c>
      <c r="L121" s="14" t="s">
        <v>33</v>
      </c>
      <c r="M121" s="14" t="s">
        <v>35</v>
      </c>
      <c r="N121" s="15" t="s">
        <v>48</v>
      </c>
      <c r="O121" s="14" t="s">
        <v>62</v>
      </c>
      <c r="P121" s="14" t="s">
        <v>48</v>
      </c>
      <c r="Q121" s="14" t="s">
        <v>62</v>
      </c>
      <c r="R121" s="14" t="s">
        <v>48</v>
      </c>
      <c r="S121" s="14" t="s">
        <v>42</v>
      </c>
      <c r="T121" s="14">
        <f t="shared" si="1"/>
        <v>4</v>
      </c>
      <c r="U121" s="14">
        <f t="shared" si="2"/>
        <v>0</v>
      </c>
      <c r="V121" s="14">
        <f t="shared" si="3"/>
        <v>0</v>
      </c>
      <c r="W121" s="16">
        <f t="shared" si="4"/>
        <v>1</v>
      </c>
      <c r="X121" s="14" t="str">
        <f t="shared" si="5"/>
        <v>Normal</v>
      </c>
      <c r="Y121" s="17">
        <f t="shared" si="6"/>
        <v>2.309401077</v>
      </c>
    </row>
    <row r="122">
      <c r="A122" s="7" t="s">
        <v>572</v>
      </c>
      <c r="B122" s="8" t="s">
        <v>573</v>
      </c>
      <c r="C122" s="9" t="s">
        <v>574</v>
      </c>
      <c r="D122" s="9" t="s">
        <v>42</v>
      </c>
      <c r="E122" s="10" t="s">
        <v>181</v>
      </c>
      <c r="F122" s="18" t="s">
        <v>44</v>
      </c>
      <c r="G122" s="12" t="s">
        <v>45</v>
      </c>
      <c r="H122" s="12" t="s">
        <v>45</v>
      </c>
      <c r="I122" s="19" t="s">
        <v>31</v>
      </c>
      <c r="J122" s="13" t="s">
        <v>45</v>
      </c>
      <c r="K122" s="14" t="s">
        <v>34</v>
      </c>
      <c r="L122" s="14" t="s">
        <v>46</v>
      </c>
      <c r="M122" s="14" t="s">
        <v>47</v>
      </c>
      <c r="N122" s="15" t="s">
        <v>48</v>
      </c>
      <c r="O122" s="14" t="s">
        <v>42</v>
      </c>
      <c r="P122" s="14" t="s">
        <v>48</v>
      </c>
      <c r="Q122" s="14" t="s">
        <v>62</v>
      </c>
      <c r="R122" s="14" t="s">
        <v>48</v>
      </c>
      <c r="S122" s="14" t="s">
        <v>42</v>
      </c>
      <c r="T122" s="14">
        <f t="shared" si="1"/>
        <v>3</v>
      </c>
      <c r="U122" s="14">
        <f t="shared" si="2"/>
        <v>1</v>
      </c>
      <c r="V122" s="14">
        <f t="shared" si="3"/>
        <v>0</v>
      </c>
      <c r="W122" s="16">
        <f t="shared" si="4"/>
        <v>1</v>
      </c>
      <c r="X122" s="14" t="str">
        <f t="shared" si="5"/>
        <v>Normal</v>
      </c>
      <c r="Y122" s="17">
        <f t="shared" si="6"/>
        <v>1.527525232</v>
      </c>
    </row>
    <row r="123">
      <c r="A123" s="7" t="s">
        <v>575</v>
      </c>
      <c r="B123" s="8" t="s">
        <v>576</v>
      </c>
      <c r="C123" s="9" t="s">
        <v>577</v>
      </c>
      <c r="D123" s="9" t="s">
        <v>42</v>
      </c>
      <c r="E123" s="24"/>
      <c r="F123" s="18" t="s">
        <v>44</v>
      </c>
      <c r="G123" s="12" t="s">
        <v>45</v>
      </c>
      <c r="H123" s="12" t="s">
        <v>45</v>
      </c>
      <c r="I123" s="19" t="s">
        <v>31</v>
      </c>
      <c r="J123" s="13" t="s">
        <v>45</v>
      </c>
      <c r="K123" s="14" t="s">
        <v>34</v>
      </c>
      <c r="L123" s="14" t="s">
        <v>55</v>
      </c>
      <c r="M123" s="14" t="s">
        <v>47</v>
      </c>
      <c r="N123" s="15" t="s">
        <v>48</v>
      </c>
      <c r="O123" s="14" t="s">
        <v>42</v>
      </c>
      <c r="P123" s="14" t="s">
        <v>48</v>
      </c>
      <c r="Q123" s="14" t="s">
        <v>42</v>
      </c>
      <c r="R123" s="14" t="s">
        <v>48</v>
      </c>
      <c r="S123" s="14" t="s">
        <v>42</v>
      </c>
      <c r="T123" s="14">
        <f t="shared" si="1"/>
        <v>3</v>
      </c>
      <c r="U123" s="14">
        <f t="shared" si="2"/>
        <v>1</v>
      </c>
      <c r="V123" s="14">
        <f t="shared" si="3"/>
        <v>0</v>
      </c>
      <c r="W123" s="16">
        <f t="shared" si="4"/>
        <v>1</v>
      </c>
      <c r="X123" s="14" t="str">
        <f t="shared" si="5"/>
        <v>Normal</v>
      </c>
      <c r="Y123" s="17">
        <f t="shared" si="6"/>
        <v>1.527525232</v>
      </c>
    </row>
    <row r="124">
      <c r="A124" s="7" t="s">
        <v>578</v>
      </c>
      <c r="B124" s="8" t="s">
        <v>579</v>
      </c>
      <c r="C124" s="9" t="s">
        <v>580</v>
      </c>
      <c r="D124" s="9" t="s">
        <v>42</v>
      </c>
      <c r="E124" s="10" t="s">
        <v>581</v>
      </c>
      <c r="F124" s="18" t="s">
        <v>44</v>
      </c>
      <c r="G124" s="12" t="s">
        <v>45</v>
      </c>
      <c r="H124" s="12" t="s">
        <v>45</v>
      </c>
      <c r="I124" s="19" t="s">
        <v>31</v>
      </c>
      <c r="J124" s="13" t="s">
        <v>45</v>
      </c>
      <c r="K124" s="14" t="s">
        <v>34</v>
      </c>
      <c r="L124" s="14" t="s">
        <v>61</v>
      </c>
      <c r="M124" s="14" t="s">
        <v>47</v>
      </c>
      <c r="N124" s="15" t="s">
        <v>48</v>
      </c>
      <c r="O124" s="14" t="s">
        <v>37</v>
      </c>
      <c r="P124" s="14" t="s">
        <v>48</v>
      </c>
      <c r="Q124" s="14" t="s">
        <v>283</v>
      </c>
      <c r="R124" s="14" t="s">
        <v>48</v>
      </c>
      <c r="S124" s="14" t="s">
        <v>42</v>
      </c>
      <c r="T124" s="14">
        <f t="shared" si="1"/>
        <v>3</v>
      </c>
      <c r="U124" s="14">
        <f t="shared" si="2"/>
        <v>1</v>
      </c>
      <c r="V124" s="14">
        <f t="shared" si="3"/>
        <v>0</v>
      </c>
      <c r="W124" s="16">
        <f t="shared" si="4"/>
        <v>1</v>
      </c>
      <c r="X124" s="14" t="str">
        <f t="shared" si="5"/>
        <v>Normal</v>
      </c>
      <c r="Y124" s="17">
        <f t="shared" si="6"/>
        <v>1.527525232</v>
      </c>
    </row>
    <row r="125">
      <c r="A125" s="7" t="s">
        <v>582</v>
      </c>
      <c r="B125" s="8" t="s">
        <v>583</v>
      </c>
      <c r="C125" s="9" t="s">
        <v>584</v>
      </c>
      <c r="D125" s="9" t="s">
        <v>585</v>
      </c>
      <c r="E125" s="10" t="s">
        <v>181</v>
      </c>
      <c r="F125" s="18" t="s">
        <v>44</v>
      </c>
      <c r="G125" s="12" t="s">
        <v>31</v>
      </c>
      <c r="H125" s="12" t="s">
        <v>45</v>
      </c>
      <c r="I125" s="19" t="s">
        <v>32</v>
      </c>
      <c r="J125" s="13" t="s">
        <v>45</v>
      </c>
      <c r="K125" s="14" t="s">
        <v>34</v>
      </c>
      <c r="L125" s="14" t="s">
        <v>33</v>
      </c>
      <c r="M125" s="14" t="s">
        <v>47</v>
      </c>
      <c r="N125" s="15" t="s">
        <v>49</v>
      </c>
      <c r="O125" s="14" t="s">
        <v>586</v>
      </c>
      <c r="P125" s="14" t="s">
        <v>48</v>
      </c>
      <c r="Q125" s="14" t="s">
        <v>586</v>
      </c>
      <c r="R125" s="14" t="s">
        <v>36</v>
      </c>
      <c r="S125" s="14" t="s">
        <v>586</v>
      </c>
      <c r="T125" s="14">
        <f t="shared" si="1"/>
        <v>2</v>
      </c>
      <c r="U125" s="14">
        <f t="shared" si="2"/>
        <v>1</v>
      </c>
      <c r="V125" s="14">
        <f t="shared" si="3"/>
        <v>1</v>
      </c>
      <c r="W125" s="16">
        <f t="shared" si="4"/>
        <v>1</v>
      </c>
      <c r="X125" s="14" t="b">
        <f t="shared" si="5"/>
        <v>0</v>
      </c>
      <c r="Y125" s="17">
        <f t="shared" si="6"/>
        <v>0.5773502692</v>
      </c>
    </row>
    <row r="126">
      <c r="A126" s="7" t="s">
        <v>587</v>
      </c>
      <c r="B126" s="8" t="s">
        <v>588</v>
      </c>
      <c r="C126" s="9" t="s">
        <v>589</v>
      </c>
      <c r="D126" s="9" t="s">
        <v>42</v>
      </c>
      <c r="E126" s="10" t="s">
        <v>181</v>
      </c>
      <c r="F126" s="18" t="s">
        <v>44</v>
      </c>
      <c r="G126" s="12" t="s">
        <v>45</v>
      </c>
      <c r="H126" s="12" t="s">
        <v>31</v>
      </c>
      <c r="I126" s="19" t="s">
        <v>32</v>
      </c>
      <c r="J126" s="13" t="s">
        <v>45</v>
      </c>
      <c r="K126" s="14" t="s">
        <v>34</v>
      </c>
      <c r="L126" s="14" t="s">
        <v>46</v>
      </c>
      <c r="M126" s="14" t="s">
        <v>47</v>
      </c>
      <c r="N126" s="15" t="s">
        <v>49</v>
      </c>
      <c r="O126" s="14" t="s">
        <v>105</v>
      </c>
      <c r="P126" s="14" t="s">
        <v>49</v>
      </c>
      <c r="Q126" s="14" t="s">
        <v>62</v>
      </c>
      <c r="R126" s="14" t="s">
        <v>48</v>
      </c>
      <c r="S126" s="14" t="s">
        <v>62</v>
      </c>
      <c r="T126" s="14">
        <f t="shared" si="1"/>
        <v>2</v>
      </c>
      <c r="U126" s="14">
        <f t="shared" si="2"/>
        <v>1</v>
      </c>
      <c r="V126" s="14">
        <f t="shared" si="3"/>
        <v>1</v>
      </c>
      <c r="W126" s="16">
        <f t="shared" si="4"/>
        <v>1</v>
      </c>
      <c r="X126" s="14" t="b">
        <f t="shared" si="5"/>
        <v>0</v>
      </c>
      <c r="Y126" s="17">
        <f t="shared" si="6"/>
        <v>0.5773502692</v>
      </c>
    </row>
    <row r="127">
      <c r="A127" s="7" t="s">
        <v>590</v>
      </c>
      <c r="B127" s="8" t="s">
        <v>591</v>
      </c>
      <c r="C127" s="9" t="s">
        <v>592</v>
      </c>
      <c r="D127" s="9" t="s">
        <v>225</v>
      </c>
      <c r="E127" s="10" t="s">
        <v>200</v>
      </c>
      <c r="F127" s="11" t="s">
        <v>155</v>
      </c>
      <c r="G127" s="12" t="s">
        <v>32</v>
      </c>
      <c r="H127" s="12" t="s">
        <v>31</v>
      </c>
      <c r="I127" s="19" t="s">
        <v>32</v>
      </c>
      <c r="J127" s="13" t="s">
        <v>32</v>
      </c>
      <c r="K127" s="14" t="s">
        <v>34</v>
      </c>
      <c r="L127" s="14" t="s">
        <v>55</v>
      </c>
      <c r="M127" s="14" t="s">
        <v>35</v>
      </c>
      <c r="N127" s="15" t="s">
        <v>36</v>
      </c>
      <c r="O127" s="14" t="s">
        <v>201</v>
      </c>
      <c r="P127" s="14" t="s">
        <v>48</v>
      </c>
      <c r="Q127" s="14" t="s">
        <v>42</v>
      </c>
      <c r="R127" s="14" t="s">
        <v>36</v>
      </c>
      <c r="S127" s="14" t="s">
        <v>201</v>
      </c>
      <c r="T127" s="14">
        <f t="shared" si="1"/>
        <v>0</v>
      </c>
      <c r="U127" s="14">
        <f t="shared" si="2"/>
        <v>1</v>
      </c>
      <c r="V127" s="14">
        <f t="shared" si="3"/>
        <v>3</v>
      </c>
      <c r="W127" s="16">
        <f t="shared" si="4"/>
        <v>1</v>
      </c>
      <c r="X127" s="14" t="str">
        <f t="shared" si="5"/>
        <v>Hate Speech</v>
      </c>
      <c r="Y127" s="17">
        <f t="shared" si="6"/>
        <v>1.527525232</v>
      </c>
    </row>
    <row r="128">
      <c r="A128" s="7" t="s">
        <v>593</v>
      </c>
      <c r="B128" s="8" t="s">
        <v>594</v>
      </c>
      <c r="C128" s="9" t="s">
        <v>595</v>
      </c>
      <c r="D128" s="9" t="s">
        <v>596</v>
      </c>
      <c r="E128" s="10" t="s">
        <v>581</v>
      </c>
      <c r="F128" s="11" t="s">
        <v>597</v>
      </c>
      <c r="G128" s="12" t="s">
        <v>31</v>
      </c>
      <c r="H128" s="12" t="s">
        <v>31</v>
      </c>
      <c r="I128" s="19" t="s">
        <v>32</v>
      </c>
      <c r="J128" s="13" t="s">
        <v>32</v>
      </c>
      <c r="K128" s="14" t="s">
        <v>34</v>
      </c>
      <c r="L128" s="14" t="s">
        <v>61</v>
      </c>
      <c r="M128" s="14" t="s">
        <v>35</v>
      </c>
      <c r="N128" s="15" t="s">
        <v>36</v>
      </c>
      <c r="O128" s="14" t="s">
        <v>598</v>
      </c>
      <c r="P128" s="14" t="s">
        <v>36</v>
      </c>
      <c r="Q128" s="14" t="s">
        <v>599</v>
      </c>
      <c r="R128" s="14" t="s">
        <v>36</v>
      </c>
      <c r="S128" s="14" t="s">
        <v>598</v>
      </c>
      <c r="T128" s="14">
        <f t="shared" si="1"/>
        <v>0</v>
      </c>
      <c r="U128" s="14">
        <f t="shared" si="2"/>
        <v>2</v>
      </c>
      <c r="V128" s="14">
        <f t="shared" si="3"/>
        <v>2</v>
      </c>
      <c r="W128" s="16">
        <f t="shared" si="4"/>
        <v>1</v>
      </c>
      <c r="X128" s="14" t="b">
        <f t="shared" si="5"/>
        <v>0</v>
      </c>
      <c r="Y128" s="17">
        <f t="shared" si="6"/>
        <v>1.154700538</v>
      </c>
    </row>
    <row r="129">
      <c r="A129" s="7" t="s">
        <v>600</v>
      </c>
      <c r="B129" s="8" t="s">
        <v>601</v>
      </c>
      <c r="C129" s="9" t="s">
        <v>602</v>
      </c>
      <c r="D129" s="9" t="s">
        <v>83</v>
      </c>
      <c r="E129" s="10" t="s">
        <v>121</v>
      </c>
      <c r="F129" s="11" t="s">
        <v>121</v>
      </c>
      <c r="G129" s="12" t="s">
        <v>162</v>
      </c>
      <c r="H129" s="12" t="s">
        <v>31</v>
      </c>
      <c r="I129" s="19" t="s">
        <v>31</v>
      </c>
      <c r="J129" s="13" t="s">
        <v>31</v>
      </c>
      <c r="K129" s="14" t="s">
        <v>34</v>
      </c>
      <c r="L129" s="14" t="s">
        <v>33</v>
      </c>
      <c r="M129" s="14" t="s">
        <v>35</v>
      </c>
      <c r="N129" s="15" t="s">
        <v>49</v>
      </c>
      <c r="O129" s="14" t="s">
        <v>83</v>
      </c>
      <c r="P129" s="14" t="s">
        <v>36</v>
      </c>
      <c r="Q129" s="14" t="s">
        <v>83</v>
      </c>
      <c r="R129" s="14" t="s">
        <v>36</v>
      </c>
      <c r="S129" s="14" t="s">
        <v>105</v>
      </c>
      <c r="T129" s="14">
        <f t="shared" si="1"/>
        <v>0</v>
      </c>
      <c r="U129" s="14">
        <f t="shared" si="2"/>
        <v>4</v>
      </c>
      <c r="V129" s="14">
        <f t="shared" si="3"/>
        <v>0</v>
      </c>
      <c r="W129" s="16">
        <f t="shared" si="4"/>
        <v>1</v>
      </c>
      <c r="X129" s="14" t="str">
        <f t="shared" si="5"/>
        <v>Offensive</v>
      </c>
      <c r="Y129" s="17">
        <f t="shared" si="6"/>
        <v>2.309401077</v>
      </c>
    </row>
    <row r="130">
      <c r="A130" s="7" t="s">
        <v>603</v>
      </c>
      <c r="B130" s="8" t="s">
        <v>604</v>
      </c>
      <c r="C130" s="9" t="s">
        <v>605</v>
      </c>
      <c r="D130" s="9" t="s">
        <v>66</v>
      </c>
      <c r="E130" s="10" t="s">
        <v>114</v>
      </c>
      <c r="F130" s="18" t="s">
        <v>44</v>
      </c>
      <c r="G130" s="12" t="s">
        <v>31</v>
      </c>
      <c r="H130" s="12" t="s">
        <v>31</v>
      </c>
      <c r="I130" s="19" t="s">
        <v>32</v>
      </c>
      <c r="J130" s="13" t="s">
        <v>45</v>
      </c>
      <c r="K130" s="14" t="s">
        <v>34</v>
      </c>
      <c r="L130" s="14" t="s">
        <v>46</v>
      </c>
      <c r="M130" s="14" t="s">
        <v>35</v>
      </c>
      <c r="N130" s="15" t="s">
        <v>49</v>
      </c>
      <c r="O130" s="14" t="s">
        <v>115</v>
      </c>
      <c r="P130" s="14" t="s">
        <v>49</v>
      </c>
      <c r="Q130" s="14" t="s">
        <v>606</v>
      </c>
      <c r="R130" s="14" t="s">
        <v>48</v>
      </c>
      <c r="S130" s="14" t="s">
        <v>115</v>
      </c>
      <c r="T130" s="14">
        <f t="shared" si="1"/>
        <v>1</v>
      </c>
      <c r="U130" s="14">
        <f t="shared" si="2"/>
        <v>2</v>
      </c>
      <c r="V130" s="14">
        <f t="shared" si="3"/>
        <v>1</v>
      </c>
      <c r="W130" s="16">
        <f t="shared" si="4"/>
        <v>1</v>
      </c>
      <c r="X130" s="14" t="b">
        <f t="shared" si="5"/>
        <v>0</v>
      </c>
      <c r="Y130" s="17">
        <f t="shared" si="6"/>
        <v>0.5773502692</v>
      </c>
    </row>
    <row r="131">
      <c r="A131" s="7" t="s">
        <v>607</v>
      </c>
      <c r="B131" s="8" t="s">
        <v>608</v>
      </c>
      <c r="C131" s="9" t="s">
        <v>609</v>
      </c>
      <c r="D131" s="9" t="s">
        <v>610</v>
      </c>
      <c r="E131" s="10" t="s">
        <v>405</v>
      </c>
      <c r="F131" s="11" t="s">
        <v>121</v>
      </c>
      <c r="G131" s="12" t="s">
        <v>31</v>
      </c>
      <c r="H131" s="12" t="s">
        <v>31</v>
      </c>
      <c r="I131" s="19" t="s">
        <v>32</v>
      </c>
      <c r="J131" s="13" t="s">
        <v>32</v>
      </c>
      <c r="K131" s="14" t="s">
        <v>34</v>
      </c>
      <c r="L131" s="14" t="s">
        <v>55</v>
      </c>
      <c r="M131" s="14" t="s">
        <v>35</v>
      </c>
      <c r="N131" s="15" t="s">
        <v>36</v>
      </c>
      <c r="O131" s="14" t="s">
        <v>164</v>
      </c>
      <c r="P131" s="14" t="s">
        <v>36</v>
      </c>
      <c r="Q131" s="14" t="s">
        <v>83</v>
      </c>
      <c r="R131" s="14" t="s">
        <v>48</v>
      </c>
      <c r="S131" s="14" t="s">
        <v>42</v>
      </c>
      <c r="T131" s="14">
        <f t="shared" si="1"/>
        <v>0</v>
      </c>
      <c r="U131" s="14">
        <f t="shared" si="2"/>
        <v>2</v>
      </c>
      <c r="V131" s="14">
        <f t="shared" si="3"/>
        <v>2</v>
      </c>
      <c r="W131" s="16">
        <f t="shared" si="4"/>
        <v>1</v>
      </c>
      <c r="X131" s="14" t="b">
        <f t="shared" si="5"/>
        <v>0</v>
      </c>
      <c r="Y131" s="17">
        <f t="shared" si="6"/>
        <v>1.154700538</v>
      </c>
    </row>
    <row r="132">
      <c r="A132" s="7" t="s">
        <v>611</v>
      </c>
      <c r="B132" s="8" t="s">
        <v>612</v>
      </c>
      <c r="C132" s="9" t="s">
        <v>613</v>
      </c>
      <c r="D132" s="9" t="s">
        <v>614</v>
      </c>
      <c r="E132" s="10" t="s">
        <v>84</v>
      </c>
      <c r="F132" s="11" t="s">
        <v>615</v>
      </c>
      <c r="G132" s="12" t="s">
        <v>31</v>
      </c>
      <c r="H132" s="12" t="s">
        <v>31</v>
      </c>
      <c r="I132" s="19" t="s">
        <v>32</v>
      </c>
      <c r="J132" s="13" t="s">
        <v>32</v>
      </c>
      <c r="K132" s="14" t="s">
        <v>34</v>
      </c>
      <c r="L132" s="14" t="s">
        <v>61</v>
      </c>
      <c r="M132" s="14" t="s">
        <v>35</v>
      </c>
      <c r="N132" s="15" t="s">
        <v>36</v>
      </c>
      <c r="O132" s="14" t="s">
        <v>598</v>
      </c>
      <c r="P132" s="14" t="s">
        <v>36</v>
      </c>
      <c r="Q132" s="14" t="s">
        <v>598</v>
      </c>
      <c r="R132" s="14" t="s">
        <v>49</v>
      </c>
      <c r="S132" s="14" t="s">
        <v>37</v>
      </c>
      <c r="T132" s="14">
        <f t="shared" si="1"/>
        <v>0</v>
      </c>
      <c r="U132" s="14">
        <f t="shared" si="2"/>
        <v>2</v>
      </c>
      <c r="V132" s="14">
        <f t="shared" si="3"/>
        <v>2</v>
      </c>
      <c r="W132" s="16">
        <f t="shared" si="4"/>
        <v>1</v>
      </c>
      <c r="X132" s="14" t="b">
        <f t="shared" si="5"/>
        <v>0</v>
      </c>
      <c r="Y132" s="17">
        <f t="shared" si="6"/>
        <v>1.154700538</v>
      </c>
    </row>
    <row r="133">
      <c r="A133" s="7" t="s">
        <v>616</v>
      </c>
      <c r="B133" s="8" t="s">
        <v>617</v>
      </c>
      <c r="C133" s="9" t="s">
        <v>618</v>
      </c>
      <c r="D133" s="9" t="s">
        <v>83</v>
      </c>
      <c r="E133" s="10" t="s">
        <v>121</v>
      </c>
      <c r="F133" s="18" t="s">
        <v>44</v>
      </c>
      <c r="G133" s="12" t="s">
        <v>31</v>
      </c>
      <c r="H133" s="12" t="s">
        <v>32</v>
      </c>
      <c r="I133" s="19" t="s">
        <v>31</v>
      </c>
      <c r="J133" s="13" t="s">
        <v>31</v>
      </c>
      <c r="K133" s="14" t="s">
        <v>34</v>
      </c>
      <c r="L133" s="14" t="s">
        <v>33</v>
      </c>
      <c r="M133" s="14" t="s">
        <v>47</v>
      </c>
      <c r="N133" s="15" t="s">
        <v>36</v>
      </c>
      <c r="O133" s="14" t="s">
        <v>83</v>
      </c>
      <c r="P133" s="14" t="s">
        <v>36</v>
      </c>
      <c r="Q133" s="14" t="s">
        <v>42</v>
      </c>
      <c r="R133" s="14" t="s">
        <v>36</v>
      </c>
      <c r="S133" s="14" t="s">
        <v>83</v>
      </c>
      <c r="T133" s="14">
        <f t="shared" si="1"/>
        <v>0</v>
      </c>
      <c r="U133" s="14">
        <f t="shared" si="2"/>
        <v>3</v>
      </c>
      <c r="V133" s="14">
        <f t="shared" si="3"/>
        <v>1</v>
      </c>
      <c r="W133" s="16">
        <f t="shared" si="4"/>
        <v>1</v>
      </c>
      <c r="X133" s="14" t="str">
        <f t="shared" si="5"/>
        <v>Offensive</v>
      </c>
      <c r="Y133" s="17">
        <f t="shared" si="6"/>
        <v>1.527525232</v>
      </c>
    </row>
    <row r="134">
      <c r="A134" s="7" t="s">
        <v>619</v>
      </c>
      <c r="B134" s="8" t="s">
        <v>620</v>
      </c>
      <c r="C134" s="9" t="s">
        <v>621</v>
      </c>
      <c r="D134" s="9" t="s">
        <v>42</v>
      </c>
      <c r="E134" s="10" t="s">
        <v>181</v>
      </c>
      <c r="F134" s="18" t="s">
        <v>44</v>
      </c>
      <c r="G134" s="12" t="s">
        <v>45</v>
      </c>
      <c r="H134" s="12" t="s">
        <v>31</v>
      </c>
      <c r="I134" s="19" t="s">
        <v>31</v>
      </c>
      <c r="J134" s="13" t="s">
        <v>45</v>
      </c>
      <c r="K134" s="14" t="s">
        <v>34</v>
      </c>
      <c r="L134" s="14" t="s">
        <v>46</v>
      </c>
      <c r="M134" s="14" t="s">
        <v>47</v>
      </c>
      <c r="N134" s="15" t="s">
        <v>49</v>
      </c>
      <c r="O134" s="14" t="s">
        <v>201</v>
      </c>
      <c r="P134" s="14" t="s">
        <v>49</v>
      </c>
      <c r="Q134" s="14" t="s">
        <v>201</v>
      </c>
      <c r="R134" s="14" t="s">
        <v>48</v>
      </c>
      <c r="S134" s="14" t="s">
        <v>201</v>
      </c>
      <c r="T134" s="14">
        <f t="shared" si="1"/>
        <v>2</v>
      </c>
      <c r="U134" s="14">
        <f t="shared" si="2"/>
        <v>2</v>
      </c>
      <c r="V134" s="14">
        <f t="shared" si="3"/>
        <v>0</v>
      </c>
      <c r="W134" s="16">
        <f t="shared" si="4"/>
        <v>1</v>
      </c>
      <c r="X134" s="14" t="b">
        <f t="shared" si="5"/>
        <v>0</v>
      </c>
      <c r="Y134" s="17">
        <f t="shared" si="6"/>
        <v>1.154700538</v>
      </c>
    </row>
    <row r="135">
      <c r="A135" s="7" t="s">
        <v>622</v>
      </c>
      <c r="B135" s="8" t="s">
        <v>623</v>
      </c>
      <c r="C135" s="9" t="s">
        <v>624</v>
      </c>
      <c r="D135" s="28" t="s">
        <v>83</v>
      </c>
      <c r="E135" s="10" t="s">
        <v>625</v>
      </c>
      <c r="F135" s="11" t="s">
        <v>626</v>
      </c>
      <c r="G135" s="12" t="s">
        <v>31</v>
      </c>
      <c r="H135" s="12" t="s">
        <v>31</v>
      </c>
      <c r="I135" s="19" t="s">
        <v>32</v>
      </c>
      <c r="J135" s="13" t="s">
        <v>32</v>
      </c>
      <c r="K135" s="14" t="s">
        <v>34</v>
      </c>
      <c r="L135" s="14" t="s">
        <v>55</v>
      </c>
      <c r="M135" s="14" t="s">
        <v>35</v>
      </c>
      <c r="N135" s="15" t="s">
        <v>36</v>
      </c>
      <c r="O135" s="14" t="s">
        <v>627</v>
      </c>
      <c r="P135" s="14" t="s">
        <v>36</v>
      </c>
      <c r="Q135" s="14" t="s">
        <v>627</v>
      </c>
      <c r="R135" s="14" t="s">
        <v>36</v>
      </c>
      <c r="S135" s="14" t="s">
        <v>83</v>
      </c>
      <c r="T135" s="14">
        <f t="shared" si="1"/>
        <v>0</v>
      </c>
      <c r="U135" s="14">
        <f t="shared" si="2"/>
        <v>2</v>
      </c>
      <c r="V135" s="14">
        <f t="shared" si="3"/>
        <v>2</v>
      </c>
      <c r="W135" s="16">
        <f t="shared" si="4"/>
        <v>1</v>
      </c>
      <c r="X135" s="14" t="b">
        <f t="shared" si="5"/>
        <v>0</v>
      </c>
      <c r="Y135" s="17">
        <f t="shared" si="6"/>
        <v>1.154700538</v>
      </c>
    </row>
    <row r="136">
      <c r="A136" s="7" t="s">
        <v>628</v>
      </c>
      <c r="B136" s="8" t="s">
        <v>629</v>
      </c>
      <c r="C136" s="9" t="s">
        <v>630</v>
      </c>
      <c r="D136" s="9" t="s">
        <v>83</v>
      </c>
      <c r="E136" s="10" t="s">
        <v>84</v>
      </c>
      <c r="F136" s="11" t="s">
        <v>121</v>
      </c>
      <c r="G136" s="12" t="s">
        <v>31</v>
      </c>
      <c r="H136" s="12" t="s">
        <v>31</v>
      </c>
      <c r="I136" s="19" t="s">
        <v>32</v>
      </c>
      <c r="J136" s="13" t="s">
        <v>31</v>
      </c>
      <c r="K136" s="14" t="s">
        <v>34</v>
      </c>
      <c r="L136" s="14" t="s">
        <v>61</v>
      </c>
      <c r="M136" s="14" t="s">
        <v>35</v>
      </c>
      <c r="N136" s="15" t="s">
        <v>36</v>
      </c>
      <c r="O136" s="14" t="s">
        <v>83</v>
      </c>
      <c r="P136" s="14" t="s">
        <v>48</v>
      </c>
      <c r="Q136" s="14" t="s">
        <v>42</v>
      </c>
      <c r="R136" s="14" t="s">
        <v>49</v>
      </c>
      <c r="S136" s="14" t="s">
        <v>105</v>
      </c>
      <c r="T136" s="14">
        <f t="shared" si="1"/>
        <v>0</v>
      </c>
      <c r="U136" s="14">
        <f t="shared" si="2"/>
        <v>3</v>
      </c>
      <c r="V136" s="14">
        <f t="shared" si="3"/>
        <v>1</v>
      </c>
      <c r="W136" s="16">
        <f t="shared" si="4"/>
        <v>1</v>
      </c>
      <c r="X136" s="14" t="str">
        <f t="shared" si="5"/>
        <v>Offensive</v>
      </c>
      <c r="Y136" s="17">
        <f t="shared" si="6"/>
        <v>1.527525232</v>
      </c>
    </row>
    <row r="137">
      <c r="A137" s="7" t="s">
        <v>631</v>
      </c>
      <c r="B137" s="8" t="s">
        <v>632</v>
      </c>
      <c r="C137" s="9" t="s">
        <v>633</v>
      </c>
      <c r="D137" s="9" t="s">
        <v>42</v>
      </c>
      <c r="E137" s="10" t="s">
        <v>181</v>
      </c>
      <c r="F137" s="18" t="s">
        <v>44</v>
      </c>
      <c r="G137" s="12" t="s">
        <v>45</v>
      </c>
      <c r="H137" s="12" t="s">
        <v>31</v>
      </c>
      <c r="I137" s="19" t="s">
        <v>31</v>
      </c>
      <c r="J137" s="13" t="s">
        <v>31</v>
      </c>
      <c r="K137" s="14" t="s">
        <v>34</v>
      </c>
      <c r="L137" s="14" t="s">
        <v>33</v>
      </c>
      <c r="M137" s="14" t="s">
        <v>47</v>
      </c>
      <c r="N137" s="15" t="s">
        <v>48</v>
      </c>
      <c r="O137" s="14" t="s">
        <v>42</v>
      </c>
      <c r="P137" s="14" t="s">
        <v>36</v>
      </c>
      <c r="Q137" s="14" t="s">
        <v>42</v>
      </c>
      <c r="R137" s="14" t="s">
        <v>49</v>
      </c>
      <c r="S137" s="14" t="s">
        <v>42</v>
      </c>
      <c r="T137" s="14">
        <f t="shared" si="1"/>
        <v>1</v>
      </c>
      <c r="U137" s="14">
        <f t="shared" si="2"/>
        <v>3</v>
      </c>
      <c r="V137" s="14">
        <f t="shared" si="3"/>
        <v>0</v>
      </c>
      <c r="W137" s="16">
        <f t="shared" si="4"/>
        <v>1</v>
      </c>
      <c r="X137" s="14" t="str">
        <f t="shared" si="5"/>
        <v>Offensive</v>
      </c>
      <c r="Y137" s="17">
        <f t="shared" si="6"/>
        <v>1.527525232</v>
      </c>
    </row>
    <row r="138">
      <c r="A138" s="7" t="s">
        <v>634</v>
      </c>
      <c r="B138" s="8" t="s">
        <v>635</v>
      </c>
      <c r="C138" s="9" t="s">
        <v>636</v>
      </c>
      <c r="D138" s="9" t="s">
        <v>42</v>
      </c>
      <c r="E138" s="10" t="s">
        <v>181</v>
      </c>
      <c r="F138" s="18" t="s">
        <v>44</v>
      </c>
      <c r="G138" s="12" t="s">
        <v>45</v>
      </c>
      <c r="H138" s="12" t="s">
        <v>45</v>
      </c>
      <c r="I138" s="19" t="s">
        <v>45</v>
      </c>
      <c r="J138" s="13" t="s">
        <v>45</v>
      </c>
      <c r="K138" s="14" t="s">
        <v>34</v>
      </c>
      <c r="L138" s="14" t="s">
        <v>46</v>
      </c>
      <c r="M138" s="14" t="s">
        <v>47</v>
      </c>
      <c r="N138" s="15" t="s">
        <v>48</v>
      </c>
      <c r="O138" s="14" t="s">
        <v>42</v>
      </c>
      <c r="P138" s="14" t="s">
        <v>48</v>
      </c>
      <c r="Q138" s="14" t="s">
        <v>42</v>
      </c>
      <c r="R138" s="14" t="s">
        <v>48</v>
      </c>
      <c r="S138" s="14" t="s">
        <v>42</v>
      </c>
      <c r="T138" s="14">
        <f t="shared" si="1"/>
        <v>4</v>
      </c>
      <c r="U138" s="14">
        <f t="shared" si="2"/>
        <v>0</v>
      </c>
      <c r="V138" s="14">
        <f t="shared" si="3"/>
        <v>0</v>
      </c>
      <c r="W138" s="16">
        <f t="shared" si="4"/>
        <v>1</v>
      </c>
      <c r="X138" s="14" t="str">
        <f t="shared" si="5"/>
        <v>Normal</v>
      </c>
      <c r="Y138" s="17">
        <f t="shared" si="6"/>
        <v>2.309401077</v>
      </c>
    </row>
    <row r="139">
      <c r="A139" s="7" t="s">
        <v>637</v>
      </c>
      <c r="B139" s="8" t="s">
        <v>638</v>
      </c>
      <c r="C139" s="9" t="s">
        <v>639</v>
      </c>
      <c r="D139" s="9" t="s">
        <v>42</v>
      </c>
      <c r="E139" s="10" t="s">
        <v>640</v>
      </c>
      <c r="F139" s="18" t="s">
        <v>44</v>
      </c>
      <c r="G139" s="12" t="s">
        <v>45</v>
      </c>
      <c r="H139" s="12" t="s">
        <v>45</v>
      </c>
      <c r="I139" s="19" t="s">
        <v>31</v>
      </c>
      <c r="J139" s="13" t="s">
        <v>45</v>
      </c>
      <c r="K139" s="14" t="s">
        <v>34</v>
      </c>
      <c r="L139" s="14" t="s">
        <v>55</v>
      </c>
      <c r="M139" s="14" t="s">
        <v>35</v>
      </c>
      <c r="N139" s="15" t="s">
        <v>48</v>
      </c>
      <c r="O139" s="14" t="s">
        <v>105</v>
      </c>
      <c r="P139" s="14" t="s">
        <v>48</v>
      </c>
      <c r="Q139" s="14" t="s">
        <v>42</v>
      </c>
      <c r="R139" s="14" t="s">
        <v>48</v>
      </c>
      <c r="S139" s="14" t="s">
        <v>42</v>
      </c>
      <c r="T139" s="14">
        <f t="shared" si="1"/>
        <v>3</v>
      </c>
      <c r="U139" s="14">
        <f t="shared" si="2"/>
        <v>1</v>
      </c>
      <c r="V139" s="14">
        <f t="shared" si="3"/>
        <v>0</v>
      </c>
      <c r="W139" s="16">
        <f t="shared" si="4"/>
        <v>1</v>
      </c>
      <c r="X139" s="14" t="str">
        <f t="shared" si="5"/>
        <v>Normal</v>
      </c>
      <c r="Y139" s="17">
        <f t="shared" si="6"/>
        <v>1.527525232</v>
      </c>
    </row>
    <row r="140">
      <c r="A140" s="7" t="s">
        <v>641</v>
      </c>
      <c r="B140" s="8" t="s">
        <v>642</v>
      </c>
      <c r="C140" s="9" t="s">
        <v>643</v>
      </c>
      <c r="D140" s="9" t="s">
        <v>644</v>
      </c>
      <c r="E140" s="10" t="s">
        <v>645</v>
      </c>
      <c r="F140" s="11" t="s">
        <v>464</v>
      </c>
      <c r="G140" s="12" t="s">
        <v>31</v>
      </c>
      <c r="H140" s="12" t="s">
        <v>31</v>
      </c>
      <c r="I140" s="19" t="s">
        <v>32</v>
      </c>
      <c r="J140" s="13" t="s">
        <v>32</v>
      </c>
      <c r="K140" s="14" t="s">
        <v>34</v>
      </c>
      <c r="L140" s="14" t="s">
        <v>61</v>
      </c>
      <c r="M140" s="14" t="s">
        <v>35</v>
      </c>
      <c r="N140" s="15" t="s">
        <v>49</v>
      </c>
      <c r="O140" s="14" t="s">
        <v>646</v>
      </c>
      <c r="P140" s="14" t="s">
        <v>36</v>
      </c>
      <c r="Q140" s="14" t="s">
        <v>83</v>
      </c>
      <c r="R140" s="14" t="s">
        <v>36</v>
      </c>
      <c r="S140" s="14" t="s">
        <v>83</v>
      </c>
      <c r="T140" s="14">
        <f t="shared" si="1"/>
        <v>0</v>
      </c>
      <c r="U140" s="14">
        <f t="shared" si="2"/>
        <v>2</v>
      </c>
      <c r="V140" s="14">
        <f t="shared" si="3"/>
        <v>2</v>
      </c>
      <c r="W140" s="16">
        <f t="shared" si="4"/>
        <v>1</v>
      </c>
      <c r="X140" s="14" t="b">
        <f t="shared" si="5"/>
        <v>0</v>
      </c>
      <c r="Y140" s="17">
        <f t="shared" si="6"/>
        <v>1.154700538</v>
      </c>
    </row>
    <row r="141">
      <c r="A141" s="7" t="s">
        <v>647</v>
      </c>
      <c r="B141" s="8" t="s">
        <v>648</v>
      </c>
      <c r="C141" s="9" t="s">
        <v>649</v>
      </c>
      <c r="D141" s="9" t="s">
        <v>42</v>
      </c>
      <c r="E141" s="10" t="s">
        <v>181</v>
      </c>
      <c r="F141" s="18" t="s">
        <v>44</v>
      </c>
      <c r="G141" s="12" t="s">
        <v>45</v>
      </c>
      <c r="H141" s="12" t="s">
        <v>45</v>
      </c>
      <c r="I141" s="19" t="s">
        <v>31</v>
      </c>
      <c r="J141" s="13" t="s">
        <v>45</v>
      </c>
      <c r="K141" s="14" t="s">
        <v>34</v>
      </c>
      <c r="L141" s="14" t="s">
        <v>33</v>
      </c>
      <c r="M141" s="14" t="s">
        <v>47</v>
      </c>
      <c r="N141" s="15" t="s">
        <v>48</v>
      </c>
      <c r="O141" s="14" t="s">
        <v>42</v>
      </c>
      <c r="P141" s="14" t="s">
        <v>48</v>
      </c>
      <c r="Q141" s="14" t="s">
        <v>42</v>
      </c>
      <c r="R141" s="14" t="s">
        <v>48</v>
      </c>
      <c r="S141" s="14" t="s">
        <v>42</v>
      </c>
      <c r="T141" s="14">
        <f t="shared" si="1"/>
        <v>3</v>
      </c>
      <c r="U141" s="14">
        <f t="shared" si="2"/>
        <v>1</v>
      </c>
      <c r="V141" s="14">
        <f t="shared" si="3"/>
        <v>0</v>
      </c>
      <c r="W141" s="16">
        <f t="shared" si="4"/>
        <v>1</v>
      </c>
      <c r="X141" s="14" t="str">
        <f t="shared" si="5"/>
        <v>Normal</v>
      </c>
      <c r="Y141" s="17">
        <f t="shared" si="6"/>
        <v>1.527525232</v>
      </c>
    </row>
    <row r="142">
      <c r="A142" s="7" t="s">
        <v>650</v>
      </c>
      <c r="B142" s="8" t="s">
        <v>651</v>
      </c>
      <c r="C142" s="9" t="s">
        <v>652</v>
      </c>
      <c r="D142" s="9" t="s">
        <v>263</v>
      </c>
      <c r="E142" s="10" t="s">
        <v>265</v>
      </c>
      <c r="F142" s="11" t="s">
        <v>265</v>
      </c>
      <c r="G142" s="12" t="s">
        <v>31</v>
      </c>
      <c r="H142" s="12" t="s">
        <v>31</v>
      </c>
      <c r="I142" s="19" t="s">
        <v>31</v>
      </c>
      <c r="J142" s="13" t="s">
        <v>32</v>
      </c>
      <c r="K142" s="14" t="s">
        <v>34</v>
      </c>
      <c r="L142" s="14" t="s">
        <v>46</v>
      </c>
      <c r="M142" s="14" t="s">
        <v>35</v>
      </c>
      <c r="N142" s="15" t="s">
        <v>36</v>
      </c>
      <c r="O142" s="14" t="s">
        <v>37</v>
      </c>
      <c r="P142" s="14" t="s">
        <v>36</v>
      </c>
      <c r="Q142" s="14" t="s">
        <v>37</v>
      </c>
      <c r="R142" s="14" t="s">
        <v>36</v>
      </c>
      <c r="S142" s="14" t="s">
        <v>191</v>
      </c>
      <c r="T142" s="14">
        <f t="shared" si="1"/>
        <v>0</v>
      </c>
      <c r="U142" s="14">
        <f t="shared" si="2"/>
        <v>3</v>
      </c>
      <c r="V142" s="14">
        <f t="shared" si="3"/>
        <v>1</v>
      </c>
      <c r="W142" s="16">
        <f t="shared" si="4"/>
        <v>1</v>
      </c>
      <c r="X142" s="14" t="str">
        <f t="shared" si="5"/>
        <v>Offensive</v>
      </c>
      <c r="Y142" s="17">
        <f t="shared" si="6"/>
        <v>1.527525232</v>
      </c>
    </row>
    <row r="143">
      <c r="A143" s="7" t="s">
        <v>653</v>
      </c>
      <c r="B143" s="8" t="s">
        <v>654</v>
      </c>
      <c r="C143" s="9" t="s">
        <v>655</v>
      </c>
      <c r="D143" s="9" t="s">
        <v>656</v>
      </c>
      <c r="E143" s="10" t="s">
        <v>657</v>
      </c>
      <c r="F143" s="18" t="s">
        <v>44</v>
      </c>
      <c r="G143" s="12" t="s">
        <v>31</v>
      </c>
      <c r="H143" s="12" t="s">
        <v>45</v>
      </c>
      <c r="I143" s="19" t="s">
        <v>31</v>
      </c>
      <c r="J143" s="13" t="s">
        <v>45</v>
      </c>
      <c r="K143" s="14" t="s">
        <v>34</v>
      </c>
      <c r="L143" s="14" t="s">
        <v>55</v>
      </c>
      <c r="M143" s="14" t="s">
        <v>35</v>
      </c>
      <c r="N143" s="15" t="s">
        <v>49</v>
      </c>
      <c r="O143" s="14" t="s">
        <v>105</v>
      </c>
      <c r="P143" s="14" t="s">
        <v>49</v>
      </c>
      <c r="Q143" s="14" t="s">
        <v>658</v>
      </c>
      <c r="R143" s="14" t="s">
        <v>49</v>
      </c>
      <c r="S143" s="14" t="s">
        <v>659</v>
      </c>
      <c r="T143" s="14">
        <f t="shared" si="1"/>
        <v>2</v>
      </c>
      <c r="U143" s="14">
        <f t="shared" si="2"/>
        <v>2</v>
      </c>
      <c r="V143" s="14">
        <f t="shared" si="3"/>
        <v>0</v>
      </c>
      <c r="W143" s="16">
        <f t="shared" si="4"/>
        <v>1</v>
      </c>
      <c r="X143" s="14" t="b">
        <f t="shared" si="5"/>
        <v>0</v>
      </c>
      <c r="Y143" s="17">
        <f t="shared" si="6"/>
        <v>1.154700538</v>
      </c>
    </row>
    <row r="144">
      <c r="A144" s="7" t="s">
        <v>660</v>
      </c>
      <c r="B144" s="8" t="s">
        <v>661</v>
      </c>
      <c r="C144" s="9" t="s">
        <v>662</v>
      </c>
      <c r="D144" s="9" t="s">
        <v>42</v>
      </c>
      <c r="E144" s="10" t="s">
        <v>60</v>
      </c>
      <c r="F144" s="11" t="s">
        <v>137</v>
      </c>
      <c r="G144" s="12" t="s">
        <v>45</v>
      </c>
      <c r="H144" s="12" t="s">
        <v>45</v>
      </c>
      <c r="I144" s="19" t="s">
        <v>32</v>
      </c>
      <c r="J144" s="13" t="s">
        <v>31</v>
      </c>
      <c r="K144" s="14" t="s">
        <v>34</v>
      </c>
      <c r="L144" s="14" t="s">
        <v>61</v>
      </c>
      <c r="M144" s="14" t="s">
        <v>47</v>
      </c>
      <c r="N144" s="15" t="s">
        <v>49</v>
      </c>
      <c r="O144" s="14" t="s">
        <v>138</v>
      </c>
      <c r="P144" s="14" t="s">
        <v>36</v>
      </c>
      <c r="Q144" s="14" t="s">
        <v>138</v>
      </c>
      <c r="R144" s="14" t="s">
        <v>48</v>
      </c>
      <c r="S144" s="14" t="s">
        <v>42</v>
      </c>
      <c r="T144" s="14">
        <f t="shared" si="1"/>
        <v>2</v>
      </c>
      <c r="U144" s="14">
        <f t="shared" si="2"/>
        <v>1</v>
      </c>
      <c r="V144" s="14">
        <f t="shared" si="3"/>
        <v>1</v>
      </c>
      <c r="W144" s="16">
        <f t="shared" si="4"/>
        <v>1</v>
      </c>
      <c r="X144" s="14" t="b">
        <f t="shared" si="5"/>
        <v>0</v>
      </c>
      <c r="Y144" s="17">
        <f t="shared" si="6"/>
        <v>0.5773502692</v>
      </c>
    </row>
    <row r="145">
      <c r="A145" s="7" t="s">
        <v>663</v>
      </c>
      <c r="B145" s="8" t="s">
        <v>664</v>
      </c>
      <c r="C145" s="9" t="s">
        <v>665</v>
      </c>
      <c r="D145" s="9" t="s">
        <v>42</v>
      </c>
      <c r="E145" s="10" t="s">
        <v>181</v>
      </c>
      <c r="F145" s="18" t="s">
        <v>44</v>
      </c>
      <c r="G145" s="12" t="s">
        <v>45</v>
      </c>
      <c r="H145" s="12" t="s">
        <v>45</v>
      </c>
      <c r="I145" s="19" t="s">
        <v>32</v>
      </c>
      <c r="J145" s="13" t="s">
        <v>45</v>
      </c>
      <c r="K145" s="14" t="s">
        <v>34</v>
      </c>
      <c r="L145" s="14" t="s">
        <v>33</v>
      </c>
      <c r="M145" s="14" t="s">
        <v>35</v>
      </c>
      <c r="N145" s="15" t="s">
        <v>49</v>
      </c>
      <c r="O145" s="14" t="s">
        <v>72</v>
      </c>
      <c r="P145" s="14" t="s">
        <v>49</v>
      </c>
      <c r="Q145" s="14" t="s">
        <v>72</v>
      </c>
      <c r="R145" s="14" t="s">
        <v>48</v>
      </c>
      <c r="S145" s="14" t="s">
        <v>183</v>
      </c>
      <c r="T145" s="14">
        <f t="shared" si="1"/>
        <v>3</v>
      </c>
      <c r="U145" s="14">
        <f t="shared" si="2"/>
        <v>0</v>
      </c>
      <c r="V145" s="14">
        <f t="shared" si="3"/>
        <v>1</v>
      </c>
      <c r="W145" s="16">
        <f t="shared" si="4"/>
        <v>1</v>
      </c>
      <c r="X145" s="14" t="str">
        <f t="shared" si="5"/>
        <v>Normal</v>
      </c>
      <c r="Y145" s="17">
        <f t="shared" si="6"/>
        <v>1.527525232</v>
      </c>
    </row>
    <row r="146">
      <c r="A146" s="7" t="s">
        <v>666</v>
      </c>
      <c r="B146" s="8" t="s">
        <v>667</v>
      </c>
      <c r="C146" s="9" t="s">
        <v>668</v>
      </c>
      <c r="D146" s="9" t="s">
        <v>459</v>
      </c>
      <c r="E146" s="10" t="s">
        <v>54</v>
      </c>
      <c r="F146" s="11" t="s">
        <v>54</v>
      </c>
      <c r="G146" s="12" t="s">
        <v>31</v>
      </c>
      <c r="H146" s="12" t="s">
        <v>31</v>
      </c>
      <c r="I146" s="19" t="s">
        <v>32</v>
      </c>
      <c r="J146" s="13" t="s">
        <v>32</v>
      </c>
      <c r="K146" s="14" t="s">
        <v>34</v>
      </c>
      <c r="L146" s="14" t="s">
        <v>46</v>
      </c>
      <c r="M146" s="14" t="s">
        <v>35</v>
      </c>
      <c r="N146" s="15" t="s">
        <v>36</v>
      </c>
      <c r="O146" s="14" t="s">
        <v>669</v>
      </c>
      <c r="P146" s="14" t="s">
        <v>36</v>
      </c>
      <c r="Q146" s="14" t="s">
        <v>670</v>
      </c>
      <c r="R146" s="14" t="s">
        <v>49</v>
      </c>
      <c r="S146" s="14" t="s">
        <v>37</v>
      </c>
      <c r="T146" s="14">
        <f t="shared" si="1"/>
        <v>0</v>
      </c>
      <c r="U146" s="14">
        <f t="shared" si="2"/>
        <v>2</v>
      </c>
      <c r="V146" s="14">
        <f t="shared" si="3"/>
        <v>2</v>
      </c>
      <c r="W146" s="16">
        <f t="shared" si="4"/>
        <v>1</v>
      </c>
      <c r="X146" s="14" t="b">
        <f t="shared" si="5"/>
        <v>0</v>
      </c>
      <c r="Y146" s="17">
        <f t="shared" si="6"/>
        <v>1.154700538</v>
      </c>
    </row>
    <row r="147">
      <c r="A147" s="7" t="s">
        <v>671</v>
      </c>
      <c r="B147" s="8" t="s">
        <v>672</v>
      </c>
      <c r="C147" s="9" t="s">
        <v>673</v>
      </c>
      <c r="D147" s="9" t="s">
        <v>543</v>
      </c>
      <c r="E147" s="10" t="s">
        <v>109</v>
      </c>
      <c r="F147" s="11" t="s">
        <v>110</v>
      </c>
      <c r="G147" s="12" t="s">
        <v>31</v>
      </c>
      <c r="H147" s="12" t="s">
        <v>32</v>
      </c>
      <c r="I147" s="19" t="s">
        <v>31</v>
      </c>
      <c r="J147" s="13" t="s">
        <v>31</v>
      </c>
      <c r="K147" s="14" t="s">
        <v>34</v>
      </c>
      <c r="L147" s="14" t="s">
        <v>55</v>
      </c>
      <c r="M147" s="14" t="s">
        <v>35</v>
      </c>
      <c r="N147" s="15" t="s">
        <v>49</v>
      </c>
      <c r="O147" s="14" t="s">
        <v>42</v>
      </c>
      <c r="P147" s="14" t="s">
        <v>49</v>
      </c>
      <c r="Q147" s="14" t="s">
        <v>42</v>
      </c>
      <c r="R147" s="14" t="s">
        <v>49</v>
      </c>
      <c r="S147" s="14" t="s">
        <v>42</v>
      </c>
      <c r="T147" s="14">
        <f t="shared" si="1"/>
        <v>0</v>
      </c>
      <c r="U147" s="14">
        <f t="shared" si="2"/>
        <v>3</v>
      </c>
      <c r="V147" s="14">
        <f t="shared" si="3"/>
        <v>1</v>
      </c>
      <c r="W147" s="16">
        <f t="shared" si="4"/>
        <v>1</v>
      </c>
      <c r="X147" s="14" t="str">
        <f t="shared" si="5"/>
        <v>Offensive</v>
      </c>
      <c r="Y147" s="17">
        <f t="shared" si="6"/>
        <v>1.527525232</v>
      </c>
    </row>
    <row r="148">
      <c r="A148" s="7" t="s">
        <v>674</v>
      </c>
      <c r="B148" s="8" t="s">
        <v>675</v>
      </c>
      <c r="C148" s="9" t="s">
        <v>676</v>
      </c>
      <c r="D148" s="9" t="s">
        <v>42</v>
      </c>
      <c r="E148" s="10" t="s">
        <v>60</v>
      </c>
      <c r="F148" s="11" t="s">
        <v>233</v>
      </c>
      <c r="G148" s="12" t="s">
        <v>45</v>
      </c>
      <c r="H148" s="12" t="s">
        <v>45</v>
      </c>
      <c r="I148" s="19" t="s">
        <v>32</v>
      </c>
      <c r="J148" s="13" t="s">
        <v>32</v>
      </c>
      <c r="K148" s="14" t="s">
        <v>34</v>
      </c>
      <c r="L148" s="14" t="s">
        <v>61</v>
      </c>
      <c r="M148" s="14" t="s">
        <v>35</v>
      </c>
      <c r="N148" s="15" t="s">
        <v>48</v>
      </c>
      <c r="O148" s="14" t="s">
        <v>42</v>
      </c>
      <c r="P148" s="14" t="s">
        <v>48</v>
      </c>
      <c r="Q148" s="14" t="s">
        <v>62</v>
      </c>
      <c r="R148" s="14" t="s">
        <v>48</v>
      </c>
      <c r="S148" s="14" t="s">
        <v>42</v>
      </c>
      <c r="T148" s="14">
        <f t="shared" si="1"/>
        <v>2</v>
      </c>
      <c r="U148" s="14">
        <f t="shared" si="2"/>
        <v>0</v>
      </c>
      <c r="V148" s="14">
        <f t="shared" si="3"/>
        <v>2</v>
      </c>
      <c r="W148" s="16">
        <f t="shared" si="4"/>
        <v>1</v>
      </c>
      <c r="X148" s="14" t="b">
        <f t="shared" si="5"/>
        <v>0</v>
      </c>
      <c r="Y148" s="17">
        <f t="shared" si="6"/>
        <v>1.154700538</v>
      </c>
    </row>
    <row r="149">
      <c r="A149" s="7" t="s">
        <v>677</v>
      </c>
      <c r="B149" s="8" t="s">
        <v>678</v>
      </c>
      <c r="C149" s="9" t="s">
        <v>679</v>
      </c>
      <c r="D149" s="9" t="s">
        <v>42</v>
      </c>
      <c r="E149" s="10" t="s">
        <v>181</v>
      </c>
      <c r="F149" s="18" t="s">
        <v>44</v>
      </c>
      <c r="G149" s="12" t="s">
        <v>45</v>
      </c>
      <c r="H149" s="12" t="s">
        <v>45</v>
      </c>
      <c r="I149" s="19" t="s">
        <v>45</v>
      </c>
      <c r="J149" s="13" t="s">
        <v>45</v>
      </c>
      <c r="K149" s="14" t="s">
        <v>34</v>
      </c>
      <c r="L149" s="14" t="s">
        <v>33</v>
      </c>
      <c r="M149" s="14" t="s">
        <v>47</v>
      </c>
      <c r="N149" s="15" t="s">
        <v>48</v>
      </c>
      <c r="O149" s="14" t="s">
        <v>42</v>
      </c>
      <c r="P149" s="14" t="s">
        <v>48</v>
      </c>
      <c r="Q149" s="14" t="s">
        <v>42</v>
      </c>
      <c r="R149" s="14" t="s">
        <v>48</v>
      </c>
      <c r="S149" s="14" t="s">
        <v>42</v>
      </c>
      <c r="T149" s="14">
        <f t="shared" si="1"/>
        <v>4</v>
      </c>
      <c r="U149" s="14">
        <f t="shared" si="2"/>
        <v>0</v>
      </c>
      <c r="V149" s="14">
        <f t="shared" si="3"/>
        <v>0</v>
      </c>
      <c r="W149" s="16">
        <f t="shared" si="4"/>
        <v>1</v>
      </c>
      <c r="X149" s="14" t="str">
        <f t="shared" si="5"/>
        <v>Normal</v>
      </c>
      <c r="Y149" s="17">
        <f t="shared" si="6"/>
        <v>2.309401077</v>
      </c>
    </row>
    <row r="150">
      <c r="A150" s="7" t="s">
        <v>680</v>
      </c>
      <c r="B150" s="8" t="s">
        <v>681</v>
      </c>
      <c r="C150" s="9" t="s">
        <v>682</v>
      </c>
      <c r="D150" s="9" t="s">
        <v>374</v>
      </c>
      <c r="E150" s="10" t="s">
        <v>181</v>
      </c>
      <c r="F150" s="18" t="s">
        <v>44</v>
      </c>
      <c r="G150" s="12" t="s">
        <v>31</v>
      </c>
      <c r="H150" s="12" t="s">
        <v>45</v>
      </c>
      <c r="I150" s="19" t="s">
        <v>45</v>
      </c>
      <c r="J150" s="13" t="s">
        <v>45</v>
      </c>
      <c r="K150" s="14" t="s">
        <v>34</v>
      </c>
      <c r="L150" s="14" t="s">
        <v>46</v>
      </c>
      <c r="M150" s="14" t="s">
        <v>47</v>
      </c>
      <c r="N150" s="15" t="s">
        <v>48</v>
      </c>
      <c r="O150" s="14" t="s">
        <v>42</v>
      </c>
      <c r="P150" s="14" t="s">
        <v>48</v>
      </c>
      <c r="Q150" s="14" t="s">
        <v>42</v>
      </c>
      <c r="R150" s="14" t="s">
        <v>48</v>
      </c>
      <c r="S150" s="14" t="s">
        <v>42</v>
      </c>
      <c r="T150" s="14">
        <f t="shared" si="1"/>
        <v>3</v>
      </c>
      <c r="U150" s="14">
        <f t="shared" si="2"/>
        <v>1</v>
      </c>
      <c r="V150" s="14">
        <f t="shared" si="3"/>
        <v>0</v>
      </c>
      <c r="W150" s="16">
        <f t="shared" si="4"/>
        <v>1</v>
      </c>
      <c r="X150" s="14" t="str">
        <f t="shared" si="5"/>
        <v>Normal</v>
      </c>
      <c r="Y150" s="17">
        <f t="shared" si="6"/>
        <v>1.527525232</v>
      </c>
    </row>
    <row r="151">
      <c r="A151" s="7" t="s">
        <v>683</v>
      </c>
      <c r="B151" s="8" t="s">
        <v>684</v>
      </c>
      <c r="C151" s="9" t="s">
        <v>685</v>
      </c>
      <c r="D151" s="9" t="s">
        <v>225</v>
      </c>
      <c r="E151" s="10" t="s">
        <v>225</v>
      </c>
      <c r="F151" s="11" t="s">
        <v>43</v>
      </c>
      <c r="G151" s="12" t="s">
        <v>31</v>
      </c>
      <c r="H151" s="12" t="s">
        <v>31</v>
      </c>
      <c r="I151" s="19" t="s">
        <v>31</v>
      </c>
      <c r="J151" s="13" t="s">
        <v>31</v>
      </c>
      <c r="K151" s="14" t="s">
        <v>34</v>
      </c>
      <c r="L151" s="14" t="s">
        <v>55</v>
      </c>
      <c r="M151" s="14" t="s">
        <v>47</v>
      </c>
      <c r="N151" s="15" t="s">
        <v>49</v>
      </c>
      <c r="O151" s="14" t="s">
        <v>43</v>
      </c>
      <c r="P151" s="14" t="s">
        <v>48</v>
      </c>
      <c r="Q151" s="14" t="s">
        <v>42</v>
      </c>
      <c r="R151" s="14" t="s">
        <v>48</v>
      </c>
      <c r="S151" s="14" t="s">
        <v>43</v>
      </c>
      <c r="T151" s="14">
        <f t="shared" si="1"/>
        <v>0</v>
      </c>
      <c r="U151" s="14">
        <f t="shared" si="2"/>
        <v>4</v>
      </c>
      <c r="V151" s="14">
        <f t="shared" si="3"/>
        <v>0</v>
      </c>
      <c r="W151" s="16">
        <f t="shared" si="4"/>
        <v>1</v>
      </c>
      <c r="X151" s="14" t="str">
        <f t="shared" si="5"/>
        <v>Offensive</v>
      </c>
      <c r="Y151" s="17">
        <f t="shared" si="6"/>
        <v>2.309401077</v>
      </c>
    </row>
    <row r="152">
      <c r="A152" s="7" t="s">
        <v>686</v>
      </c>
      <c r="B152" s="8" t="s">
        <v>687</v>
      </c>
      <c r="C152" s="9" t="s">
        <v>688</v>
      </c>
      <c r="D152" s="9" t="s">
        <v>62</v>
      </c>
      <c r="E152" s="10" t="s">
        <v>288</v>
      </c>
      <c r="F152" s="11" t="s">
        <v>233</v>
      </c>
      <c r="G152" s="12" t="s">
        <v>32</v>
      </c>
      <c r="H152" s="12" t="s">
        <v>32</v>
      </c>
      <c r="I152" s="19" t="s">
        <v>32</v>
      </c>
      <c r="J152" s="13" t="s">
        <v>32</v>
      </c>
      <c r="K152" s="14" t="s">
        <v>34</v>
      </c>
      <c r="L152" s="14" t="s">
        <v>61</v>
      </c>
      <c r="M152" s="14" t="s">
        <v>47</v>
      </c>
      <c r="N152" s="15" t="s">
        <v>36</v>
      </c>
      <c r="O152" s="14" t="s">
        <v>62</v>
      </c>
      <c r="P152" s="14" t="s">
        <v>49</v>
      </c>
      <c r="Q152" s="14" t="s">
        <v>62</v>
      </c>
      <c r="R152" s="14" t="s">
        <v>36</v>
      </c>
      <c r="S152" s="14" t="s">
        <v>62</v>
      </c>
      <c r="T152" s="14">
        <f t="shared" si="1"/>
        <v>0</v>
      </c>
      <c r="U152" s="14">
        <f t="shared" si="2"/>
        <v>0</v>
      </c>
      <c r="V152" s="14">
        <f t="shared" si="3"/>
        <v>4</v>
      </c>
      <c r="W152" s="16">
        <f t="shared" si="4"/>
        <v>1</v>
      </c>
      <c r="X152" s="14" t="str">
        <f t="shared" si="5"/>
        <v>Hate Speech</v>
      </c>
      <c r="Y152" s="17">
        <f t="shared" si="6"/>
        <v>2.309401077</v>
      </c>
    </row>
    <row r="153">
      <c r="A153" s="7" t="s">
        <v>689</v>
      </c>
      <c r="B153" s="8" t="s">
        <v>690</v>
      </c>
      <c r="C153" s="9" t="s">
        <v>691</v>
      </c>
      <c r="D153" s="9" t="s">
        <v>459</v>
      </c>
      <c r="E153" s="10" t="s">
        <v>54</v>
      </c>
      <c r="F153" s="18" t="s">
        <v>44</v>
      </c>
      <c r="G153" s="12" t="s">
        <v>31</v>
      </c>
      <c r="H153" s="12" t="s">
        <v>45</v>
      </c>
      <c r="I153" s="19" t="s">
        <v>32</v>
      </c>
      <c r="J153" s="13" t="s">
        <v>45</v>
      </c>
      <c r="K153" s="14" t="s">
        <v>34</v>
      </c>
      <c r="L153" s="14" t="s">
        <v>33</v>
      </c>
      <c r="M153" s="14" t="s">
        <v>35</v>
      </c>
      <c r="N153" s="15" t="s">
        <v>49</v>
      </c>
      <c r="O153" s="14" t="s">
        <v>692</v>
      </c>
      <c r="P153" s="14" t="s">
        <v>49</v>
      </c>
      <c r="Q153" s="14" t="s">
        <v>37</v>
      </c>
      <c r="R153" s="14" t="s">
        <v>49</v>
      </c>
      <c r="S153" s="14" t="s">
        <v>693</v>
      </c>
      <c r="T153" s="14">
        <f t="shared" si="1"/>
        <v>2</v>
      </c>
      <c r="U153" s="14">
        <f t="shared" si="2"/>
        <v>1</v>
      </c>
      <c r="V153" s="14">
        <f t="shared" si="3"/>
        <v>1</v>
      </c>
      <c r="W153" s="16">
        <f t="shared" si="4"/>
        <v>1</v>
      </c>
      <c r="X153" s="14" t="b">
        <f t="shared" si="5"/>
        <v>0</v>
      </c>
      <c r="Y153" s="17">
        <f t="shared" si="6"/>
        <v>0.5773502692</v>
      </c>
    </row>
    <row r="154">
      <c r="A154" s="7" t="s">
        <v>694</v>
      </c>
      <c r="B154" s="8" t="s">
        <v>695</v>
      </c>
      <c r="C154" s="9" t="s">
        <v>696</v>
      </c>
      <c r="D154" s="9" t="s">
        <v>459</v>
      </c>
      <c r="E154" s="10" t="s">
        <v>54</v>
      </c>
      <c r="F154" s="11" t="s">
        <v>54</v>
      </c>
      <c r="G154" s="12" t="s">
        <v>31</v>
      </c>
      <c r="H154" s="12" t="s">
        <v>31</v>
      </c>
      <c r="I154" s="19" t="s">
        <v>32</v>
      </c>
      <c r="J154" s="13" t="s">
        <v>32</v>
      </c>
      <c r="K154" s="14" t="s">
        <v>34</v>
      </c>
      <c r="L154" s="14" t="s">
        <v>46</v>
      </c>
      <c r="M154" s="14" t="s">
        <v>35</v>
      </c>
      <c r="N154" s="15" t="s">
        <v>36</v>
      </c>
      <c r="O154" s="14" t="s">
        <v>37</v>
      </c>
      <c r="P154" s="14" t="s">
        <v>36</v>
      </c>
      <c r="Q154" s="14" t="s">
        <v>37</v>
      </c>
      <c r="R154" s="14" t="s">
        <v>36</v>
      </c>
      <c r="S154" s="14" t="s">
        <v>37</v>
      </c>
      <c r="T154" s="14">
        <f t="shared" si="1"/>
        <v>0</v>
      </c>
      <c r="U154" s="14">
        <f t="shared" si="2"/>
        <v>2</v>
      </c>
      <c r="V154" s="14">
        <f t="shared" si="3"/>
        <v>2</v>
      </c>
      <c r="W154" s="16">
        <f t="shared" si="4"/>
        <v>1</v>
      </c>
      <c r="X154" s="14" t="b">
        <f t="shared" si="5"/>
        <v>0</v>
      </c>
      <c r="Y154" s="17">
        <f t="shared" si="6"/>
        <v>1.154700538</v>
      </c>
    </row>
    <row r="155">
      <c r="A155" s="7" t="s">
        <v>697</v>
      </c>
      <c r="B155" s="8" t="s">
        <v>698</v>
      </c>
      <c r="C155" s="9" t="s">
        <v>699</v>
      </c>
      <c r="D155" s="9" t="s">
        <v>42</v>
      </c>
      <c r="E155" s="10" t="s">
        <v>42</v>
      </c>
      <c r="F155" s="18" t="s">
        <v>44</v>
      </c>
      <c r="G155" s="12" t="s">
        <v>45</v>
      </c>
      <c r="H155" s="12" t="s">
        <v>31</v>
      </c>
      <c r="I155" s="19" t="s">
        <v>32</v>
      </c>
      <c r="J155" s="13" t="s">
        <v>45</v>
      </c>
      <c r="K155" s="14" t="s">
        <v>34</v>
      </c>
      <c r="L155" s="14" t="s">
        <v>55</v>
      </c>
      <c r="M155" s="14" t="s">
        <v>47</v>
      </c>
      <c r="N155" s="15" t="s">
        <v>48</v>
      </c>
      <c r="O155" s="14" t="s">
        <v>42</v>
      </c>
      <c r="P155" s="14" t="s">
        <v>48</v>
      </c>
      <c r="Q155" s="14" t="s">
        <v>42</v>
      </c>
      <c r="R155" s="14" t="s">
        <v>48</v>
      </c>
      <c r="S155" s="14" t="s">
        <v>42</v>
      </c>
      <c r="T155" s="14">
        <f t="shared" si="1"/>
        <v>2</v>
      </c>
      <c r="U155" s="14">
        <f t="shared" si="2"/>
        <v>1</v>
      </c>
      <c r="V155" s="14">
        <f t="shared" si="3"/>
        <v>1</v>
      </c>
      <c r="W155" s="16">
        <f t="shared" si="4"/>
        <v>1</v>
      </c>
      <c r="X155" s="14" t="b">
        <f t="shared" si="5"/>
        <v>0</v>
      </c>
      <c r="Y155" s="17">
        <f t="shared" si="6"/>
        <v>0.5773502692</v>
      </c>
    </row>
    <row r="156">
      <c r="A156" s="7" t="s">
        <v>700</v>
      </c>
      <c r="B156" s="8" t="s">
        <v>701</v>
      </c>
      <c r="C156" s="9" t="s">
        <v>702</v>
      </c>
      <c r="D156" s="9" t="s">
        <v>225</v>
      </c>
      <c r="E156" s="10" t="s">
        <v>43</v>
      </c>
      <c r="F156" s="11" t="s">
        <v>703</v>
      </c>
      <c r="G156" s="12" t="s">
        <v>31</v>
      </c>
      <c r="H156" s="12" t="s">
        <v>31</v>
      </c>
      <c r="I156" s="19" t="s">
        <v>32</v>
      </c>
      <c r="J156" s="13" t="s">
        <v>32</v>
      </c>
      <c r="K156" s="14" t="s">
        <v>34</v>
      </c>
      <c r="L156" s="14" t="s">
        <v>61</v>
      </c>
      <c r="M156" s="14" t="s">
        <v>47</v>
      </c>
      <c r="N156" s="15" t="s">
        <v>48</v>
      </c>
      <c r="O156" s="14" t="s">
        <v>42</v>
      </c>
      <c r="P156" s="14" t="s">
        <v>49</v>
      </c>
      <c r="Q156" s="14" t="s">
        <v>294</v>
      </c>
      <c r="R156" s="14" t="s">
        <v>49</v>
      </c>
      <c r="S156" s="14" t="s">
        <v>43</v>
      </c>
      <c r="T156" s="14">
        <f t="shared" si="1"/>
        <v>0</v>
      </c>
      <c r="U156" s="14">
        <f t="shared" si="2"/>
        <v>2</v>
      </c>
      <c r="V156" s="14">
        <f t="shared" si="3"/>
        <v>2</v>
      </c>
      <c r="W156" s="16">
        <f t="shared" si="4"/>
        <v>1</v>
      </c>
      <c r="X156" s="14" t="b">
        <f t="shared" si="5"/>
        <v>0</v>
      </c>
      <c r="Y156" s="17">
        <f t="shared" si="6"/>
        <v>1.154700538</v>
      </c>
    </row>
    <row r="157">
      <c r="A157" s="7" t="s">
        <v>704</v>
      </c>
      <c r="B157" s="8" t="s">
        <v>705</v>
      </c>
      <c r="C157" s="9" t="s">
        <v>706</v>
      </c>
      <c r="D157" s="9" t="s">
        <v>707</v>
      </c>
      <c r="E157" s="10" t="s">
        <v>137</v>
      </c>
      <c r="F157" s="18" t="s">
        <v>44</v>
      </c>
      <c r="G157" s="12" t="s">
        <v>31</v>
      </c>
      <c r="H157" s="12" t="s">
        <v>31</v>
      </c>
      <c r="I157" s="19" t="s">
        <v>32</v>
      </c>
      <c r="J157" s="13" t="s">
        <v>45</v>
      </c>
      <c r="K157" s="14" t="s">
        <v>34</v>
      </c>
      <c r="L157" s="14" t="s">
        <v>33</v>
      </c>
      <c r="M157" s="14" t="s">
        <v>35</v>
      </c>
      <c r="N157" s="15" t="s">
        <v>36</v>
      </c>
      <c r="O157" s="14" t="s">
        <v>42</v>
      </c>
      <c r="P157" s="14" t="s">
        <v>36</v>
      </c>
      <c r="Q157" s="14" t="s">
        <v>138</v>
      </c>
      <c r="R157" s="14" t="s">
        <v>36</v>
      </c>
      <c r="S157" s="14" t="s">
        <v>138</v>
      </c>
      <c r="T157" s="14">
        <f t="shared" si="1"/>
        <v>1</v>
      </c>
      <c r="U157" s="14">
        <f t="shared" si="2"/>
        <v>2</v>
      </c>
      <c r="V157" s="14">
        <f t="shared" si="3"/>
        <v>1</v>
      </c>
      <c r="W157" s="16">
        <f t="shared" si="4"/>
        <v>1</v>
      </c>
      <c r="X157" s="14" t="b">
        <f t="shared" si="5"/>
        <v>0</v>
      </c>
      <c r="Y157" s="17">
        <f t="shared" si="6"/>
        <v>0.5773502692</v>
      </c>
    </row>
    <row r="158">
      <c r="A158" s="7" t="s">
        <v>708</v>
      </c>
      <c r="B158" s="8" t="s">
        <v>709</v>
      </c>
      <c r="C158" s="9" t="s">
        <v>710</v>
      </c>
      <c r="D158" s="9" t="s">
        <v>459</v>
      </c>
      <c r="E158" s="10" t="s">
        <v>54</v>
      </c>
      <c r="F158" s="11" t="s">
        <v>54</v>
      </c>
      <c r="G158" s="12" t="s">
        <v>31</v>
      </c>
      <c r="H158" s="12" t="s">
        <v>31</v>
      </c>
      <c r="I158" s="19" t="s">
        <v>32</v>
      </c>
      <c r="J158" s="13" t="s">
        <v>32</v>
      </c>
      <c r="K158" s="14" t="s">
        <v>34</v>
      </c>
      <c r="L158" s="14" t="s">
        <v>46</v>
      </c>
      <c r="M158" s="14" t="s">
        <v>47</v>
      </c>
      <c r="N158" s="15" t="s">
        <v>49</v>
      </c>
      <c r="O158" s="14" t="s">
        <v>37</v>
      </c>
      <c r="P158" s="14" t="s">
        <v>48</v>
      </c>
      <c r="Q158" s="14" t="s">
        <v>42</v>
      </c>
      <c r="R158" s="14" t="s">
        <v>48</v>
      </c>
      <c r="S158" s="14" t="s">
        <v>531</v>
      </c>
      <c r="T158" s="14">
        <f t="shared" si="1"/>
        <v>0</v>
      </c>
      <c r="U158" s="14">
        <f t="shared" si="2"/>
        <v>2</v>
      </c>
      <c r="V158" s="14">
        <f t="shared" si="3"/>
        <v>2</v>
      </c>
      <c r="W158" s="16">
        <f t="shared" si="4"/>
        <v>1</v>
      </c>
      <c r="X158" s="14" t="b">
        <f t="shared" si="5"/>
        <v>0</v>
      </c>
      <c r="Y158" s="17">
        <f t="shared" si="6"/>
        <v>1.154700538</v>
      </c>
    </row>
    <row r="159">
      <c r="A159" s="7" t="s">
        <v>711</v>
      </c>
      <c r="B159" s="8" t="s">
        <v>712</v>
      </c>
      <c r="C159" s="9" t="s">
        <v>713</v>
      </c>
      <c r="D159" s="9" t="s">
        <v>42</v>
      </c>
      <c r="E159" s="10" t="s">
        <v>374</v>
      </c>
      <c r="F159" s="18" t="s">
        <v>44</v>
      </c>
      <c r="G159" s="12" t="s">
        <v>45</v>
      </c>
      <c r="H159" s="12" t="s">
        <v>45</v>
      </c>
      <c r="I159" s="19" t="s">
        <v>45</v>
      </c>
      <c r="J159" s="13" t="s">
        <v>45</v>
      </c>
      <c r="K159" s="14" t="s">
        <v>34</v>
      </c>
      <c r="L159" s="14" t="s">
        <v>55</v>
      </c>
      <c r="M159" s="14" t="s">
        <v>47</v>
      </c>
      <c r="N159" s="15" t="s">
        <v>48</v>
      </c>
      <c r="O159" s="14" t="s">
        <v>42</v>
      </c>
      <c r="P159" s="14" t="s">
        <v>48</v>
      </c>
      <c r="Q159" s="14" t="s">
        <v>42</v>
      </c>
      <c r="R159" s="14" t="s">
        <v>48</v>
      </c>
      <c r="S159" s="14" t="s">
        <v>42</v>
      </c>
      <c r="T159" s="14">
        <f t="shared" si="1"/>
        <v>4</v>
      </c>
      <c r="U159" s="14">
        <f t="shared" si="2"/>
        <v>0</v>
      </c>
      <c r="V159" s="14">
        <f t="shared" si="3"/>
        <v>0</v>
      </c>
      <c r="W159" s="16">
        <f t="shared" si="4"/>
        <v>1</v>
      </c>
      <c r="X159" s="14" t="str">
        <f t="shared" si="5"/>
        <v>Normal</v>
      </c>
      <c r="Y159" s="17">
        <f t="shared" si="6"/>
        <v>2.309401077</v>
      </c>
    </row>
    <row r="160">
      <c r="A160" s="7" t="s">
        <v>714</v>
      </c>
      <c r="B160" s="8" t="s">
        <v>715</v>
      </c>
      <c r="C160" s="9" t="s">
        <v>716</v>
      </c>
      <c r="D160" s="9" t="s">
        <v>225</v>
      </c>
      <c r="E160" s="10" t="s">
        <v>196</v>
      </c>
      <c r="F160" s="11" t="s">
        <v>43</v>
      </c>
      <c r="G160" s="12" t="s">
        <v>31</v>
      </c>
      <c r="H160" s="12" t="s">
        <v>45</v>
      </c>
      <c r="I160" s="19" t="s">
        <v>31</v>
      </c>
      <c r="J160" s="13" t="s">
        <v>31</v>
      </c>
      <c r="K160" s="14" t="s">
        <v>34</v>
      </c>
      <c r="L160" s="14" t="s">
        <v>61</v>
      </c>
      <c r="M160" s="14" t="s">
        <v>35</v>
      </c>
      <c r="N160" s="15" t="s">
        <v>48</v>
      </c>
      <c r="O160" s="14" t="s">
        <v>42</v>
      </c>
      <c r="P160" s="14" t="s">
        <v>49</v>
      </c>
      <c r="Q160" s="14" t="s">
        <v>43</v>
      </c>
      <c r="R160" s="14" t="s">
        <v>49</v>
      </c>
      <c r="S160" s="14" t="s">
        <v>43</v>
      </c>
      <c r="T160" s="14">
        <f t="shared" si="1"/>
        <v>1</v>
      </c>
      <c r="U160" s="14">
        <f t="shared" si="2"/>
        <v>3</v>
      </c>
      <c r="V160" s="14">
        <f t="shared" si="3"/>
        <v>0</v>
      </c>
      <c r="W160" s="16">
        <f t="shared" si="4"/>
        <v>1</v>
      </c>
      <c r="X160" s="14" t="str">
        <f t="shared" si="5"/>
        <v>Offensive</v>
      </c>
      <c r="Y160" s="17">
        <f t="shared" si="6"/>
        <v>1.527525232</v>
      </c>
    </row>
    <row r="161">
      <c r="A161" s="7" t="s">
        <v>717</v>
      </c>
      <c r="B161" s="8" t="s">
        <v>718</v>
      </c>
      <c r="C161" s="9" t="s">
        <v>719</v>
      </c>
      <c r="D161" s="9" t="s">
        <v>374</v>
      </c>
      <c r="E161" s="10" t="s">
        <v>181</v>
      </c>
      <c r="F161" s="18" t="s">
        <v>44</v>
      </c>
      <c r="G161" s="12" t="s">
        <v>31</v>
      </c>
      <c r="H161" s="12" t="s">
        <v>32</v>
      </c>
      <c r="I161" s="19" t="s">
        <v>45</v>
      </c>
      <c r="J161" s="13" t="s">
        <v>45</v>
      </c>
      <c r="K161" s="14" t="s">
        <v>34</v>
      </c>
      <c r="L161" s="14" t="s">
        <v>33</v>
      </c>
      <c r="M161" s="14" t="s">
        <v>47</v>
      </c>
      <c r="N161" s="15" t="s">
        <v>48</v>
      </c>
      <c r="O161" s="14" t="s">
        <v>42</v>
      </c>
      <c r="P161" s="14" t="s">
        <v>48</v>
      </c>
      <c r="Q161" s="14" t="s">
        <v>42</v>
      </c>
      <c r="R161" s="14" t="s">
        <v>48</v>
      </c>
      <c r="S161" s="14" t="s">
        <v>283</v>
      </c>
      <c r="T161" s="14">
        <f t="shared" si="1"/>
        <v>2</v>
      </c>
      <c r="U161" s="14">
        <f t="shared" si="2"/>
        <v>1</v>
      </c>
      <c r="V161" s="14">
        <f t="shared" si="3"/>
        <v>1</v>
      </c>
      <c r="W161" s="16">
        <f t="shared" si="4"/>
        <v>1</v>
      </c>
      <c r="X161" s="14" t="b">
        <f t="shared" si="5"/>
        <v>0</v>
      </c>
      <c r="Y161" s="17">
        <f t="shared" si="6"/>
        <v>0.5773502692</v>
      </c>
    </row>
    <row r="162">
      <c r="A162" s="7" t="s">
        <v>720</v>
      </c>
      <c r="B162" s="8" t="s">
        <v>721</v>
      </c>
      <c r="C162" s="9" t="s">
        <v>722</v>
      </c>
      <c r="D162" s="9" t="s">
        <v>42</v>
      </c>
      <c r="E162" s="10" t="s">
        <v>43</v>
      </c>
      <c r="F162" s="18" t="s">
        <v>44</v>
      </c>
      <c r="G162" s="12" t="s">
        <v>45</v>
      </c>
      <c r="H162" s="12" t="s">
        <v>45</v>
      </c>
      <c r="I162" s="19" t="s">
        <v>31</v>
      </c>
      <c r="J162" s="13" t="s">
        <v>45</v>
      </c>
      <c r="K162" s="14" t="s">
        <v>34</v>
      </c>
      <c r="L162" s="14" t="s">
        <v>46</v>
      </c>
      <c r="M162" s="14" t="s">
        <v>35</v>
      </c>
      <c r="N162" s="15" t="s">
        <v>48</v>
      </c>
      <c r="O162" s="14" t="s">
        <v>42</v>
      </c>
      <c r="P162" s="14" t="s">
        <v>49</v>
      </c>
      <c r="Q162" s="14" t="s">
        <v>42</v>
      </c>
      <c r="R162" s="14" t="s">
        <v>48</v>
      </c>
      <c r="S162" s="14" t="s">
        <v>42</v>
      </c>
      <c r="T162" s="14">
        <f t="shared" si="1"/>
        <v>3</v>
      </c>
      <c r="U162" s="14">
        <f t="shared" si="2"/>
        <v>1</v>
      </c>
      <c r="V162" s="14">
        <f t="shared" si="3"/>
        <v>0</v>
      </c>
      <c r="W162" s="16">
        <f t="shared" si="4"/>
        <v>1</v>
      </c>
      <c r="X162" s="14" t="str">
        <f t="shared" si="5"/>
        <v>Normal</v>
      </c>
      <c r="Y162" s="17">
        <f t="shared" si="6"/>
        <v>1.527525232</v>
      </c>
    </row>
    <row r="163">
      <c r="A163" s="7" t="s">
        <v>723</v>
      </c>
      <c r="B163" s="8" t="s">
        <v>724</v>
      </c>
      <c r="C163" s="9" t="s">
        <v>725</v>
      </c>
      <c r="D163" s="9" t="s">
        <v>66</v>
      </c>
      <c r="E163" s="10" t="s">
        <v>726</v>
      </c>
      <c r="F163" s="11" t="s">
        <v>155</v>
      </c>
      <c r="G163" s="12" t="s">
        <v>31</v>
      </c>
      <c r="H163" s="12" t="s">
        <v>31</v>
      </c>
      <c r="I163" s="19" t="s">
        <v>32</v>
      </c>
      <c r="J163" s="13" t="s">
        <v>45</v>
      </c>
      <c r="K163" s="14" t="s">
        <v>34</v>
      </c>
      <c r="L163" s="14" t="s">
        <v>55</v>
      </c>
      <c r="M163" s="14" t="s">
        <v>35</v>
      </c>
      <c r="N163" s="15" t="s">
        <v>36</v>
      </c>
      <c r="O163" s="14" t="s">
        <v>606</v>
      </c>
      <c r="P163" s="14" t="s">
        <v>49</v>
      </c>
      <c r="Q163" s="14" t="s">
        <v>606</v>
      </c>
      <c r="R163" s="14" t="s">
        <v>49</v>
      </c>
      <c r="S163" s="14" t="s">
        <v>606</v>
      </c>
      <c r="T163" s="14">
        <f t="shared" si="1"/>
        <v>1</v>
      </c>
      <c r="U163" s="14">
        <f t="shared" si="2"/>
        <v>2</v>
      </c>
      <c r="V163" s="14">
        <f t="shared" si="3"/>
        <v>1</v>
      </c>
      <c r="W163" s="16">
        <f t="shared" si="4"/>
        <v>1</v>
      </c>
      <c r="X163" s="14" t="b">
        <f t="shared" si="5"/>
        <v>0</v>
      </c>
      <c r="Y163" s="17">
        <f t="shared" si="6"/>
        <v>0.5773502692</v>
      </c>
    </row>
    <row r="164">
      <c r="A164" s="7" t="s">
        <v>727</v>
      </c>
      <c r="B164" s="8" t="s">
        <v>728</v>
      </c>
      <c r="C164" s="9" t="s">
        <v>729</v>
      </c>
      <c r="D164" s="9" t="s">
        <v>42</v>
      </c>
      <c r="E164" s="10" t="s">
        <v>196</v>
      </c>
      <c r="F164" s="11" t="s">
        <v>54</v>
      </c>
      <c r="G164" s="12" t="s">
        <v>182</v>
      </c>
      <c r="H164" s="12" t="s">
        <v>45</v>
      </c>
      <c r="I164" s="19" t="s">
        <v>31</v>
      </c>
      <c r="J164" s="13" t="s">
        <v>31</v>
      </c>
      <c r="K164" s="14" t="s">
        <v>34</v>
      </c>
      <c r="L164" s="14" t="s">
        <v>61</v>
      </c>
      <c r="M164" s="14" t="s">
        <v>47</v>
      </c>
      <c r="N164" s="15" t="s">
        <v>48</v>
      </c>
      <c r="O164" s="14" t="s">
        <v>42</v>
      </c>
      <c r="P164" s="14" t="s">
        <v>49</v>
      </c>
      <c r="Q164" s="14" t="s">
        <v>37</v>
      </c>
      <c r="R164" s="14" t="s">
        <v>48</v>
      </c>
      <c r="S164" s="14" t="s">
        <v>42</v>
      </c>
      <c r="T164" s="14">
        <f t="shared" si="1"/>
        <v>2</v>
      </c>
      <c r="U164" s="14">
        <f t="shared" si="2"/>
        <v>2</v>
      </c>
      <c r="V164" s="14">
        <f t="shared" si="3"/>
        <v>0</v>
      </c>
      <c r="W164" s="16">
        <f t="shared" si="4"/>
        <v>1</v>
      </c>
      <c r="X164" s="14" t="b">
        <f t="shared" si="5"/>
        <v>0</v>
      </c>
      <c r="Y164" s="17">
        <f t="shared" si="6"/>
        <v>1.154700538</v>
      </c>
    </row>
    <row r="165">
      <c r="A165" s="7" t="s">
        <v>730</v>
      </c>
      <c r="B165" s="8" t="s">
        <v>731</v>
      </c>
      <c r="C165" s="9" t="s">
        <v>732</v>
      </c>
      <c r="D165" s="9" t="s">
        <v>42</v>
      </c>
      <c r="E165" s="10" t="s">
        <v>43</v>
      </c>
      <c r="F165" s="11" t="s">
        <v>43</v>
      </c>
      <c r="G165" s="12" t="s">
        <v>45</v>
      </c>
      <c r="H165" s="12" t="s">
        <v>31</v>
      </c>
      <c r="I165" s="19" t="s">
        <v>31</v>
      </c>
      <c r="J165" s="13" t="s">
        <v>31</v>
      </c>
      <c r="K165" s="14" t="s">
        <v>34</v>
      </c>
      <c r="L165" s="14" t="s">
        <v>33</v>
      </c>
      <c r="M165" s="14" t="s">
        <v>35</v>
      </c>
      <c r="N165" s="15" t="s">
        <v>36</v>
      </c>
      <c r="O165" s="14" t="s">
        <v>43</v>
      </c>
      <c r="P165" s="14" t="s">
        <v>49</v>
      </c>
      <c r="Q165" s="14" t="s">
        <v>43</v>
      </c>
      <c r="R165" s="14" t="s">
        <v>49</v>
      </c>
      <c r="S165" s="14" t="s">
        <v>43</v>
      </c>
      <c r="T165" s="14">
        <f t="shared" si="1"/>
        <v>1</v>
      </c>
      <c r="U165" s="14">
        <f t="shared" si="2"/>
        <v>3</v>
      </c>
      <c r="V165" s="14">
        <f t="shared" si="3"/>
        <v>0</v>
      </c>
      <c r="W165" s="16">
        <f t="shared" si="4"/>
        <v>1</v>
      </c>
      <c r="X165" s="14" t="str">
        <f t="shared" si="5"/>
        <v>Offensive</v>
      </c>
      <c r="Y165" s="17">
        <f t="shared" si="6"/>
        <v>1.527525232</v>
      </c>
    </row>
    <row r="166">
      <c r="A166" s="7" t="s">
        <v>733</v>
      </c>
      <c r="B166" s="8" t="s">
        <v>734</v>
      </c>
      <c r="C166" s="9" t="s">
        <v>735</v>
      </c>
      <c r="D166" s="9" t="s">
        <v>543</v>
      </c>
      <c r="E166" s="10" t="s">
        <v>110</v>
      </c>
      <c r="F166" s="11" t="s">
        <v>110</v>
      </c>
      <c r="G166" s="12" t="s">
        <v>31</v>
      </c>
      <c r="H166" s="12" t="s">
        <v>31</v>
      </c>
      <c r="I166" s="19" t="s">
        <v>31</v>
      </c>
      <c r="J166" s="13" t="s">
        <v>31</v>
      </c>
      <c r="K166" s="14" t="s">
        <v>34</v>
      </c>
      <c r="L166" s="14" t="s">
        <v>46</v>
      </c>
      <c r="M166" s="14" t="s">
        <v>35</v>
      </c>
      <c r="N166" s="15" t="s">
        <v>49</v>
      </c>
      <c r="O166" s="14" t="s">
        <v>736</v>
      </c>
      <c r="P166" s="14" t="s">
        <v>49</v>
      </c>
      <c r="Q166" s="14" t="s">
        <v>42</v>
      </c>
      <c r="R166" s="14" t="s">
        <v>49</v>
      </c>
      <c r="S166" s="14" t="s">
        <v>42</v>
      </c>
      <c r="T166" s="14">
        <f t="shared" si="1"/>
        <v>0</v>
      </c>
      <c r="U166" s="14">
        <f t="shared" si="2"/>
        <v>4</v>
      </c>
      <c r="V166" s="14">
        <f t="shared" si="3"/>
        <v>0</v>
      </c>
      <c r="W166" s="16">
        <f t="shared" si="4"/>
        <v>1</v>
      </c>
      <c r="X166" s="14" t="str">
        <f t="shared" si="5"/>
        <v>Offensive</v>
      </c>
      <c r="Y166" s="17">
        <f t="shared" si="6"/>
        <v>2.309401077</v>
      </c>
    </row>
    <row r="167">
      <c r="A167" s="7" t="s">
        <v>737</v>
      </c>
      <c r="B167" s="8" t="s">
        <v>738</v>
      </c>
      <c r="C167" s="9" t="s">
        <v>739</v>
      </c>
      <c r="D167" s="29"/>
      <c r="E167" s="10" t="s">
        <v>225</v>
      </c>
      <c r="F167" s="18" t="s">
        <v>44</v>
      </c>
      <c r="G167" s="20"/>
      <c r="H167" s="12" t="s">
        <v>45</v>
      </c>
      <c r="I167" s="19" t="s">
        <v>31</v>
      </c>
      <c r="J167" s="13" t="s">
        <v>31</v>
      </c>
      <c r="K167" s="14" t="s">
        <v>34</v>
      </c>
      <c r="L167" s="14" t="s">
        <v>55</v>
      </c>
      <c r="M167" s="14" t="s">
        <v>47</v>
      </c>
      <c r="N167" s="15" t="s">
        <v>48</v>
      </c>
      <c r="O167" s="14" t="s">
        <v>42</v>
      </c>
      <c r="P167" s="14" t="s">
        <v>48</v>
      </c>
      <c r="Q167" s="14" t="s">
        <v>42</v>
      </c>
      <c r="R167" s="14" t="s">
        <v>48</v>
      </c>
      <c r="S167" s="14" t="s">
        <v>42</v>
      </c>
      <c r="T167" s="14">
        <f t="shared" si="1"/>
        <v>1</v>
      </c>
      <c r="U167" s="14">
        <f t="shared" si="2"/>
        <v>2</v>
      </c>
      <c r="V167" s="14">
        <f t="shared" si="3"/>
        <v>0</v>
      </c>
      <c r="W167" s="16">
        <f t="shared" si="4"/>
        <v>0.75</v>
      </c>
      <c r="X167" s="14" t="b">
        <f t="shared" si="5"/>
        <v>0</v>
      </c>
      <c r="Y167" s="17">
        <f t="shared" si="6"/>
        <v>1</v>
      </c>
    </row>
    <row r="168">
      <c r="A168" s="7" t="s">
        <v>740</v>
      </c>
      <c r="B168" s="8" t="s">
        <v>741</v>
      </c>
      <c r="C168" s="9" t="s">
        <v>742</v>
      </c>
      <c r="D168" s="9" t="s">
        <v>459</v>
      </c>
      <c r="E168" s="10" t="s">
        <v>743</v>
      </c>
      <c r="F168" s="18" t="s">
        <v>44</v>
      </c>
      <c r="G168" s="12" t="s">
        <v>31</v>
      </c>
      <c r="H168" s="12" t="s">
        <v>45</v>
      </c>
      <c r="I168" s="19" t="s">
        <v>32</v>
      </c>
      <c r="J168" s="13" t="s">
        <v>45</v>
      </c>
      <c r="K168" s="14" t="s">
        <v>34</v>
      </c>
      <c r="L168" s="14" t="s">
        <v>61</v>
      </c>
      <c r="M168" s="14" t="s">
        <v>35</v>
      </c>
      <c r="N168" s="15" t="s">
        <v>36</v>
      </c>
      <c r="O168" s="14" t="s">
        <v>37</v>
      </c>
      <c r="P168" s="14" t="s">
        <v>36</v>
      </c>
      <c r="Q168" s="14" t="s">
        <v>37</v>
      </c>
      <c r="R168" s="14" t="s">
        <v>36</v>
      </c>
      <c r="S168" s="14" t="s">
        <v>37</v>
      </c>
      <c r="T168" s="14">
        <f t="shared" si="1"/>
        <v>2</v>
      </c>
      <c r="U168" s="14">
        <f t="shared" si="2"/>
        <v>1</v>
      </c>
      <c r="V168" s="14">
        <f t="shared" si="3"/>
        <v>1</v>
      </c>
      <c r="W168" s="16">
        <f t="shared" si="4"/>
        <v>1</v>
      </c>
      <c r="X168" s="14" t="b">
        <f t="shared" si="5"/>
        <v>0</v>
      </c>
      <c r="Y168" s="17">
        <f t="shared" si="6"/>
        <v>0.5773502692</v>
      </c>
    </row>
    <row r="169">
      <c r="A169" s="7" t="s">
        <v>744</v>
      </c>
      <c r="B169" s="8" t="s">
        <v>745</v>
      </c>
      <c r="C169" s="9" t="s">
        <v>746</v>
      </c>
      <c r="D169" s="9" t="s">
        <v>225</v>
      </c>
      <c r="E169" s="10" t="s">
        <v>43</v>
      </c>
      <c r="F169" s="11" t="s">
        <v>43</v>
      </c>
      <c r="G169" s="12" t="s">
        <v>32</v>
      </c>
      <c r="H169" s="12" t="s">
        <v>31</v>
      </c>
      <c r="I169" s="19" t="s">
        <v>31</v>
      </c>
      <c r="J169" s="13" t="s">
        <v>31</v>
      </c>
      <c r="K169" s="14" t="s">
        <v>34</v>
      </c>
      <c r="L169" s="14" t="s">
        <v>33</v>
      </c>
      <c r="M169" s="14" t="s">
        <v>35</v>
      </c>
      <c r="N169" s="15" t="s">
        <v>49</v>
      </c>
      <c r="O169" s="14" t="s">
        <v>105</v>
      </c>
      <c r="P169" s="14" t="s">
        <v>36</v>
      </c>
      <c r="Q169" s="14" t="s">
        <v>43</v>
      </c>
      <c r="R169" s="14" t="s">
        <v>48</v>
      </c>
      <c r="S169" s="14" t="s">
        <v>43</v>
      </c>
      <c r="T169" s="14">
        <f t="shared" si="1"/>
        <v>0</v>
      </c>
      <c r="U169" s="14">
        <f t="shared" si="2"/>
        <v>3</v>
      </c>
      <c r="V169" s="14">
        <f t="shared" si="3"/>
        <v>1</v>
      </c>
      <c r="W169" s="16">
        <f t="shared" si="4"/>
        <v>1</v>
      </c>
      <c r="X169" s="14" t="str">
        <f t="shared" si="5"/>
        <v>Offensive</v>
      </c>
      <c r="Y169" s="17">
        <f t="shared" si="6"/>
        <v>1.527525232</v>
      </c>
    </row>
    <row r="170">
      <c r="A170" s="7" t="s">
        <v>747</v>
      </c>
      <c r="B170" s="8" t="s">
        <v>748</v>
      </c>
      <c r="C170" s="9" t="s">
        <v>749</v>
      </c>
      <c r="D170" s="9" t="s">
        <v>83</v>
      </c>
      <c r="E170" s="10" t="s">
        <v>121</v>
      </c>
      <c r="F170" s="11" t="s">
        <v>750</v>
      </c>
      <c r="G170" s="12" t="s">
        <v>31</v>
      </c>
      <c r="H170" s="12" t="s">
        <v>31</v>
      </c>
      <c r="I170" s="19" t="s">
        <v>31</v>
      </c>
      <c r="J170" s="13" t="s">
        <v>32</v>
      </c>
      <c r="K170" s="14" t="s">
        <v>34</v>
      </c>
      <c r="L170" s="14" t="s">
        <v>46</v>
      </c>
      <c r="M170" s="14" t="s">
        <v>35</v>
      </c>
      <c r="N170" s="15" t="s">
        <v>49</v>
      </c>
      <c r="O170" s="14" t="s">
        <v>83</v>
      </c>
      <c r="P170" s="14" t="s">
        <v>49</v>
      </c>
      <c r="Q170" s="14" t="s">
        <v>83</v>
      </c>
      <c r="R170" s="14" t="s">
        <v>36</v>
      </c>
      <c r="S170" s="14" t="s">
        <v>83</v>
      </c>
      <c r="T170" s="14">
        <f t="shared" si="1"/>
        <v>0</v>
      </c>
      <c r="U170" s="14">
        <f t="shared" si="2"/>
        <v>3</v>
      </c>
      <c r="V170" s="14">
        <f t="shared" si="3"/>
        <v>1</v>
      </c>
      <c r="W170" s="16">
        <f t="shared" si="4"/>
        <v>1</v>
      </c>
      <c r="X170" s="14" t="str">
        <f t="shared" si="5"/>
        <v>Offensive</v>
      </c>
      <c r="Y170" s="17">
        <f t="shared" si="6"/>
        <v>1.527525232</v>
      </c>
    </row>
    <row r="171">
      <c r="A171" s="7" t="s">
        <v>751</v>
      </c>
      <c r="B171" s="8" t="s">
        <v>752</v>
      </c>
      <c r="C171" s="9" t="s">
        <v>753</v>
      </c>
      <c r="D171" s="9" t="s">
        <v>42</v>
      </c>
      <c r="E171" s="10" t="s">
        <v>225</v>
      </c>
      <c r="F171" s="18" t="s">
        <v>44</v>
      </c>
      <c r="G171" s="12" t="s">
        <v>45</v>
      </c>
      <c r="H171" s="12" t="s">
        <v>31</v>
      </c>
      <c r="I171" s="19" t="s">
        <v>45</v>
      </c>
      <c r="J171" s="13" t="s">
        <v>45</v>
      </c>
      <c r="K171" s="14" t="s">
        <v>34</v>
      </c>
      <c r="L171" s="14" t="s">
        <v>55</v>
      </c>
      <c r="M171" s="14" t="s">
        <v>35</v>
      </c>
      <c r="N171" s="15" t="s">
        <v>36</v>
      </c>
      <c r="O171" s="14" t="s">
        <v>43</v>
      </c>
      <c r="P171" s="14" t="s">
        <v>49</v>
      </c>
      <c r="Q171" s="14" t="s">
        <v>43</v>
      </c>
      <c r="R171" s="14" t="s">
        <v>48</v>
      </c>
      <c r="S171" s="14" t="s">
        <v>658</v>
      </c>
      <c r="T171" s="14">
        <f t="shared" si="1"/>
        <v>3</v>
      </c>
      <c r="U171" s="14">
        <f t="shared" si="2"/>
        <v>1</v>
      </c>
      <c r="V171" s="14">
        <f t="shared" si="3"/>
        <v>0</v>
      </c>
      <c r="W171" s="16">
        <f t="shared" si="4"/>
        <v>1</v>
      </c>
      <c r="X171" s="14" t="str">
        <f t="shared" si="5"/>
        <v>Normal</v>
      </c>
      <c r="Y171" s="17">
        <f t="shared" si="6"/>
        <v>1.527525232</v>
      </c>
    </row>
    <row r="172">
      <c r="A172" s="7" t="s">
        <v>754</v>
      </c>
      <c r="B172" s="8" t="s">
        <v>755</v>
      </c>
      <c r="C172" s="9" t="s">
        <v>756</v>
      </c>
      <c r="D172" s="9" t="s">
        <v>42</v>
      </c>
      <c r="E172" s="10" t="s">
        <v>757</v>
      </c>
      <c r="F172" s="18" t="s">
        <v>44</v>
      </c>
      <c r="G172" s="12" t="s">
        <v>45</v>
      </c>
      <c r="H172" s="12" t="s">
        <v>45</v>
      </c>
      <c r="I172" s="19" t="s">
        <v>45</v>
      </c>
      <c r="J172" s="13" t="s">
        <v>45</v>
      </c>
      <c r="K172" s="14" t="s">
        <v>34</v>
      </c>
      <c r="L172" s="14" t="s">
        <v>61</v>
      </c>
      <c r="M172" s="14" t="s">
        <v>47</v>
      </c>
      <c r="N172" s="15" t="s">
        <v>48</v>
      </c>
      <c r="O172" s="14" t="s">
        <v>42</v>
      </c>
      <c r="P172" s="14" t="s">
        <v>48</v>
      </c>
      <c r="Q172" s="14" t="s">
        <v>42</v>
      </c>
      <c r="R172" s="14" t="s">
        <v>48</v>
      </c>
      <c r="S172" s="14" t="s">
        <v>42</v>
      </c>
      <c r="T172" s="14">
        <f t="shared" si="1"/>
        <v>4</v>
      </c>
      <c r="U172" s="14">
        <f t="shared" si="2"/>
        <v>0</v>
      </c>
      <c r="V172" s="14">
        <f t="shared" si="3"/>
        <v>0</v>
      </c>
      <c r="W172" s="16">
        <f t="shared" si="4"/>
        <v>1</v>
      </c>
      <c r="X172" s="14" t="str">
        <f t="shared" si="5"/>
        <v>Normal</v>
      </c>
      <c r="Y172" s="17">
        <f t="shared" si="6"/>
        <v>2.309401077</v>
      </c>
    </row>
    <row r="173">
      <c r="A173" s="7" t="s">
        <v>758</v>
      </c>
      <c r="B173" s="8" t="s">
        <v>759</v>
      </c>
      <c r="C173" s="9" t="s">
        <v>760</v>
      </c>
      <c r="D173" s="9" t="s">
        <v>761</v>
      </c>
      <c r="E173" s="10" t="s">
        <v>54</v>
      </c>
      <c r="F173" s="18" t="s">
        <v>44</v>
      </c>
      <c r="G173" s="12" t="s">
        <v>32</v>
      </c>
      <c r="H173" s="12" t="s">
        <v>762</v>
      </c>
      <c r="I173" s="19" t="s">
        <v>45</v>
      </c>
      <c r="J173" s="13" t="s">
        <v>45</v>
      </c>
      <c r="K173" s="14" t="s">
        <v>34</v>
      </c>
      <c r="L173" s="14" t="s">
        <v>33</v>
      </c>
      <c r="M173" s="14" t="s">
        <v>35</v>
      </c>
      <c r="N173" s="15" t="s">
        <v>48</v>
      </c>
      <c r="O173" s="14" t="s">
        <v>42</v>
      </c>
      <c r="P173" s="14" t="s">
        <v>48</v>
      </c>
      <c r="Q173" s="14" t="s">
        <v>42</v>
      </c>
      <c r="R173" s="14" t="s">
        <v>48</v>
      </c>
      <c r="S173" s="14" t="s">
        <v>42</v>
      </c>
      <c r="T173" s="14">
        <f t="shared" si="1"/>
        <v>2</v>
      </c>
      <c r="U173" s="14">
        <f t="shared" si="2"/>
        <v>0</v>
      </c>
      <c r="V173" s="14">
        <f t="shared" si="3"/>
        <v>2</v>
      </c>
      <c r="W173" s="16">
        <f t="shared" si="4"/>
        <v>1</v>
      </c>
      <c r="X173" s="14" t="b">
        <f t="shared" si="5"/>
        <v>0</v>
      </c>
      <c r="Y173" s="17">
        <f t="shared" si="6"/>
        <v>1.154700538</v>
      </c>
    </row>
    <row r="174">
      <c r="A174" s="7" t="s">
        <v>763</v>
      </c>
      <c r="B174" s="8" t="s">
        <v>764</v>
      </c>
      <c r="C174" s="9" t="s">
        <v>765</v>
      </c>
      <c r="D174" s="9" t="s">
        <v>543</v>
      </c>
      <c r="E174" s="10" t="s">
        <v>766</v>
      </c>
      <c r="F174" s="11" t="s">
        <v>54</v>
      </c>
      <c r="G174" s="12" t="s">
        <v>31</v>
      </c>
      <c r="H174" s="12" t="s">
        <v>31</v>
      </c>
      <c r="I174" s="19" t="s">
        <v>31</v>
      </c>
      <c r="J174" s="13" t="s">
        <v>31</v>
      </c>
      <c r="K174" s="14" t="s">
        <v>34</v>
      </c>
      <c r="L174" s="14" t="s">
        <v>46</v>
      </c>
      <c r="M174" s="14" t="s">
        <v>35</v>
      </c>
      <c r="N174" s="15" t="s">
        <v>49</v>
      </c>
      <c r="O174" s="14" t="s">
        <v>767</v>
      </c>
      <c r="P174" s="14" t="s">
        <v>49</v>
      </c>
      <c r="Q174" s="14" t="s">
        <v>37</v>
      </c>
      <c r="R174" s="14" t="s">
        <v>49</v>
      </c>
      <c r="S174" s="14" t="s">
        <v>37</v>
      </c>
      <c r="T174" s="14">
        <f t="shared" si="1"/>
        <v>0</v>
      </c>
      <c r="U174" s="14">
        <f t="shared" si="2"/>
        <v>4</v>
      </c>
      <c r="V174" s="14">
        <f t="shared" si="3"/>
        <v>0</v>
      </c>
      <c r="W174" s="16">
        <f t="shared" si="4"/>
        <v>1</v>
      </c>
      <c r="X174" s="14" t="str">
        <f t="shared" si="5"/>
        <v>Offensive</v>
      </c>
      <c r="Y174" s="17">
        <f t="shared" si="6"/>
        <v>2.309401077</v>
      </c>
    </row>
    <row r="175">
      <c r="A175" s="7" t="s">
        <v>768</v>
      </c>
      <c r="B175" s="8" t="s">
        <v>769</v>
      </c>
      <c r="C175" s="9" t="s">
        <v>770</v>
      </c>
      <c r="D175" s="9" t="s">
        <v>771</v>
      </c>
      <c r="E175" s="10" t="s">
        <v>772</v>
      </c>
      <c r="F175" s="11" t="s">
        <v>773</v>
      </c>
      <c r="G175" s="12" t="s">
        <v>32</v>
      </c>
      <c r="H175" s="12" t="s">
        <v>32</v>
      </c>
      <c r="I175" s="19" t="s">
        <v>32</v>
      </c>
      <c r="J175" s="13" t="s">
        <v>32</v>
      </c>
      <c r="K175" s="14" t="s">
        <v>34</v>
      </c>
      <c r="L175" s="14" t="s">
        <v>55</v>
      </c>
      <c r="M175" s="14" t="s">
        <v>35</v>
      </c>
      <c r="N175" s="15" t="s">
        <v>48</v>
      </c>
      <c r="O175" s="14" t="s">
        <v>42</v>
      </c>
      <c r="P175" s="14" t="s">
        <v>36</v>
      </c>
      <c r="Q175" s="14" t="s">
        <v>658</v>
      </c>
      <c r="R175" s="14" t="s">
        <v>49</v>
      </c>
      <c r="S175" s="14" t="s">
        <v>43</v>
      </c>
      <c r="T175" s="14">
        <f t="shared" si="1"/>
        <v>0</v>
      </c>
      <c r="U175" s="14">
        <f t="shared" si="2"/>
        <v>0</v>
      </c>
      <c r="V175" s="14">
        <f t="shared" si="3"/>
        <v>4</v>
      </c>
      <c r="W175" s="16">
        <f t="shared" si="4"/>
        <v>1</v>
      </c>
      <c r="X175" s="14" t="str">
        <f t="shared" si="5"/>
        <v>Hate Speech</v>
      </c>
      <c r="Y175" s="17">
        <f t="shared" si="6"/>
        <v>2.309401077</v>
      </c>
    </row>
    <row r="176">
      <c r="A176" s="7" t="s">
        <v>774</v>
      </c>
      <c r="B176" s="8" t="s">
        <v>775</v>
      </c>
      <c r="C176" s="9" t="s">
        <v>776</v>
      </c>
      <c r="D176" s="9" t="s">
        <v>283</v>
      </c>
      <c r="E176" s="10" t="s">
        <v>777</v>
      </c>
      <c r="F176" s="18" t="s">
        <v>44</v>
      </c>
      <c r="G176" s="12" t="s">
        <v>31</v>
      </c>
      <c r="H176" s="12" t="s">
        <v>45</v>
      </c>
      <c r="I176" s="19" t="s">
        <v>45</v>
      </c>
      <c r="J176" s="13" t="s">
        <v>45</v>
      </c>
      <c r="K176" s="14" t="s">
        <v>34</v>
      </c>
      <c r="L176" s="14" t="s">
        <v>61</v>
      </c>
      <c r="M176" s="14" t="s">
        <v>47</v>
      </c>
      <c r="N176" s="15" t="s">
        <v>48</v>
      </c>
      <c r="O176" s="14" t="s">
        <v>42</v>
      </c>
      <c r="P176" s="14" t="s">
        <v>48</v>
      </c>
      <c r="Q176" s="14" t="s">
        <v>42</v>
      </c>
      <c r="R176" s="14" t="s">
        <v>48</v>
      </c>
      <c r="S176" s="14" t="s">
        <v>42</v>
      </c>
      <c r="T176" s="14">
        <f t="shared" si="1"/>
        <v>3</v>
      </c>
      <c r="U176" s="14">
        <f t="shared" si="2"/>
        <v>1</v>
      </c>
      <c r="V176" s="14">
        <f t="shared" si="3"/>
        <v>0</v>
      </c>
      <c r="W176" s="16">
        <f t="shared" si="4"/>
        <v>1</v>
      </c>
      <c r="X176" s="14" t="str">
        <f t="shared" si="5"/>
        <v>Normal</v>
      </c>
      <c r="Y176" s="17">
        <f t="shared" si="6"/>
        <v>1.527525232</v>
      </c>
    </row>
    <row r="177">
      <c r="A177" s="7" t="s">
        <v>778</v>
      </c>
      <c r="B177" s="8" t="s">
        <v>779</v>
      </c>
      <c r="C177" s="9" t="s">
        <v>780</v>
      </c>
      <c r="D177" s="9" t="s">
        <v>42</v>
      </c>
      <c r="E177" s="10" t="s">
        <v>181</v>
      </c>
      <c r="F177" s="18" t="s">
        <v>44</v>
      </c>
      <c r="G177" s="12" t="s">
        <v>45</v>
      </c>
      <c r="H177" s="12" t="s">
        <v>45</v>
      </c>
      <c r="I177" s="19" t="s">
        <v>31</v>
      </c>
      <c r="J177" s="13" t="s">
        <v>45</v>
      </c>
      <c r="K177" s="14" t="s">
        <v>34</v>
      </c>
      <c r="L177" s="14" t="s">
        <v>33</v>
      </c>
      <c r="M177" s="14" t="s">
        <v>47</v>
      </c>
      <c r="N177" s="15" t="s">
        <v>49</v>
      </c>
      <c r="O177" s="14" t="s">
        <v>42</v>
      </c>
      <c r="P177" s="14" t="s">
        <v>48</v>
      </c>
      <c r="Q177" s="14" t="s">
        <v>42</v>
      </c>
      <c r="R177" s="14" t="s">
        <v>48</v>
      </c>
      <c r="S177" s="14" t="s">
        <v>42</v>
      </c>
      <c r="T177" s="14">
        <f t="shared" si="1"/>
        <v>3</v>
      </c>
      <c r="U177" s="14">
        <f t="shared" si="2"/>
        <v>1</v>
      </c>
      <c r="V177" s="14">
        <f t="shared" si="3"/>
        <v>0</v>
      </c>
      <c r="W177" s="16">
        <f t="shared" si="4"/>
        <v>1</v>
      </c>
      <c r="X177" s="14" t="str">
        <f t="shared" si="5"/>
        <v>Normal</v>
      </c>
      <c r="Y177" s="17">
        <f t="shared" si="6"/>
        <v>1.527525232</v>
      </c>
    </row>
    <row r="178">
      <c r="A178" s="7" t="s">
        <v>781</v>
      </c>
      <c r="B178" s="8" t="s">
        <v>782</v>
      </c>
      <c r="C178" s="9" t="s">
        <v>783</v>
      </c>
      <c r="D178" s="9" t="s">
        <v>374</v>
      </c>
      <c r="E178" s="10" t="s">
        <v>181</v>
      </c>
      <c r="F178" s="18" t="s">
        <v>44</v>
      </c>
      <c r="G178" s="12" t="s">
        <v>31</v>
      </c>
      <c r="H178" s="12" t="s">
        <v>31</v>
      </c>
      <c r="I178" s="19" t="s">
        <v>45</v>
      </c>
      <c r="J178" s="13" t="s">
        <v>45</v>
      </c>
      <c r="K178" s="14" t="s">
        <v>34</v>
      </c>
      <c r="L178" s="14" t="s">
        <v>46</v>
      </c>
      <c r="M178" s="14" t="s">
        <v>35</v>
      </c>
      <c r="N178" s="15" t="s">
        <v>49</v>
      </c>
      <c r="O178" s="14" t="s">
        <v>784</v>
      </c>
      <c r="P178" s="14" t="s">
        <v>36</v>
      </c>
      <c r="Q178" s="14" t="s">
        <v>283</v>
      </c>
      <c r="R178" s="14" t="s">
        <v>49</v>
      </c>
      <c r="S178" s="14" t="s">
        <v>283</v>
      </c>
      <c r="T178" s="14">
        <f t="shared" si="1"/>
        <v>2</v>
      </c>
      <c r="U178" s="14">
        <f t="shared" si="2"/>
        <v>2</v>
      </c>
      <c r="V178" s="14">
        <f t="shared" si="3"/>
        <v>0</v>
      </c>
      <c r="W178" s="16">
        <f t="shared" si="4"/>
        <v>1</v>
      </c>
      <c r="X178" s="14" t="b">
        <f t="shared" si="5"/>
        <v>0</v>
      </c>
      <c r="Y178" s="17">
        <f t="shared" si="6"/>
        <v>1.154700538</v>
      </c>
    </row>
    <row r="179">
      <c r="A179" s="7" t="s">
        <v>785</v>
      </c>
      <c r="B179" s="8" t="s">
        <v>786</v>
      </c>
      <c r="C179" s="9" t="s">
        <v>787</v>
      </c>
      <c r="D179" s="9" t="s">
        <v>543</v>
      </c>
      <c r="E179" s="10" t="s">
        <v>109</v>
      </c>
      <c r="F179" s="11" t="s">
        <v>110</v>
      </c>
      <c r="G179" s="12" t="s">
        <v>31</v>
      </c>
      <c r="H179" s="12" t="s">
        <v>31</v>
      </c>
      <c r="I179" s="19" t="s">
        <v>31</v>
      </c>
      <c r="J179" s="13" t="s">
        <v>31</v>
      </c>
      <c r="K179" s="14" t="s">
        <v>34</v>
      </c>
      <c r="L179" s="14" t="s">
        <v>55</v>
      </c>
      <c r="M179" s="14" t="s">
        <v>35</v>
      </c>
      <c r="N179" s="15" t="s">
        <v>49</v>
      </c>
      <c r="O179" s="14" t="s">
        <v>42</v>
      </c>
      <c r="P179" s="14" t="s">
        <v>49</v>
      </c>
      <c r="Q179" s="14" t="s">
        <v>42</v>
      </c>
      <c r="R179" s="14" t="s">
        <v>49</v>
      </c>
      <c r="S179" s="14" t="s">
        <v>105</v>
      </c>
      <c r="T179" s="14">
        <f t="shared" si="1"/>
        <v>0</v>
      </c>
      <c r="U179" s="14">
        <f t="shared" si="2"/>
        <v>4</v>
      </c>
      <c r="V179" s="14">
        <f t="shared" si="3"/>
        <v>0</v>
      </c>
      <c r="W179" s="16">
        <f t="shared" si="4"/>
        <v>1</v>
      </c>
      <c r="X179" s="14" t="str">
        <f t="shared" si="5"/>
        <v>Offensive</v>
      </c>
      <c r="Y179" s="17">
        <f t="shared" si="6"/>
        <v>2.309401077</v>
      </c>
    </row>
    <row r="180">
      <c r="A180" s="7" t="s">
        <v>788</v>
      </c>
      <c r="B180" s="8" t="s">
        <v>789</v>
      </c>
      <c r="C180" s="9" t="s">
        <v>790</v>
      </c>
      <c r="D180" s="9" t="s">
        <v>225</v>
      </c>
      <c r="E180" s="10" t="s">
        <v>43</v>
      </c>
      <c r="F180" s="11" t="s">
        <v>791</v>
      </c>
      <c r="G180" s="12" t="s">
        <v>31</v>
      </c>
      <c r="H180" s="12" t="s">
        <v>31</v>
      </c>
      <c r="I180" s="19" t="s">
        <v>31</v>
      </c>
      <c r="J180" s="13" t="s">
        <v>31</v>
      </c>
      <c r="K180" s="14" t="s">
        <v>34</v>
      </c>
      <c r="L180" s="14" t="s">
        <v>61</v>
      </c>
      <c r="M180" s="14" t="s">
        <v>47</v>
      </c>
      <c r="N180" s="15" t="s">
        <v>48</v>
      </c>
      <c r="O180" s="14" t="s">
        <v>42</v>
      </c>
      <c r="P180" s="14" t="s">
        <v>48</v>
      </c>
      <c r="Q180" s="14" t="s">
        <v>43</v>
      </c>
      <c r="R180" s="14" t="s">
        <v>48</v>
      </c>
      <c r="S180" s="14" t="s">
        <v>42</v>
      </c>
      <c r="T180" s="14">
        <f t="shared" si="1"/>
        <v>0</v>
      </c>
      <c r="U180" s="14">
        <f t="shared" si="2"/>
        <v>4</v>
      </c>
      <c r="V180" s="14">
        <f t="shared" si="3"/>
        <v>0</v>
      </c>
      <c r="W180" s="16">
        <f t="shared" si="4"/>
        <v>1</v>
      </c>
      <c r="X180" s="14" t="str">
        <f t="shared" si="5"/>
        <v>Offensive</v>
      </c>
      <c r="Y180" s="17">
        <f t="shared" si="6"/>
        <v>2.309401077</v>
      </c>
    </row>
    <row r="181">
      <c r="A181" s="7" t="s">
        <v>792</v>
      </c>
      <c r="B181" s="8" t="s">
        <v>793</v>
      </c>
      <c r="C181" s="9" t="s">
        <v>794</v>
      </c>
      <c r="D181" s="9" t="s">
        <v>42</v>
      </c>
      <c r="E181" s="10" t="s">
        <v>181</v>
      </c>
      <c r="F181" s="18" t="s">
        <v>44</v>
      </c>
      <c r="G181" s="12" t="s">
        <v>45</v>
      </c>
      <c r="H181" s="12" t="s">
        <v>45</v>
      </c>
      <c r="I181" s="19" t="s">
        <v>45</v>
      </c>
      <c r="J181" s="13" t="s">
        <v>45</v>
      </c>
      <c r="K181" s="14" t="s">
        <v>34</v>
      </c>
      <c r="L181" s="14" t="s">
        <v>33</v>
      </c>
      <c r="M181" s="14" t="s">
        <v>47</v>
      </c>
      <c r="N181" s="15" t="s">
        <v>48</v>
      </c>
      <c r="O181" s="14" t="s">
        <v>42</v>
      </c>
      <c r="P181" s="14" t="s">
        <v>48</v>
      </c>
      <c r="Q181" s="14" t="s">
        <v>42</v>
      </c>
      <c r="R181" s="14" t="s">
        <v>48</v>
      </c>
      <c r="S181" s="14" t="s">
        <v>42</v>
      </c>
      <c r="T181" s="14">
        <f t="shared" si="1"/>
        <v>4</v>
      </c>
      <c r="U181" s="14">
        <f t="shared" si="2"/>
        <v>0</v>
      </c>
      <c r="V181" s="14">
        <f t="shared" si="3"/>
        <v>0</v>
      </c>
      <c r="W181" s="16">
        <f t="shared" si="4"/>
        <v>1</v>
      </c>
      <c r="X181" s="14" t="str">
        <f t="shared" si="5"/>
        <v>Normal</v>
      </c>
      <c r="Y181" s="17">
        <f t="shared" si="6"/>
        <v>2.309401077</v>
      </c>
    </row>
    <row r="182">
      <c r="A182" s="7" t="s">
        <v>795</v>
      </c>
      <c r="B182" s="8" t="s">
        <v>796</v>
      </c>
      <c r="C182" s="9" t="s">
        <v>797</v>
      </c>
      <c r="D182" s="9" t="s">
        <v>798</v>
      </c>
      <c r="E182" s="10" t="s">
        <v>799</v>
      </c>
      <c r="F182" s="11" t="s">
        <v>54</v>
      </c>
      <c r="G182" s="12" t="s">
        <v>31</v>
      </c>
      <c r="H182" s="12" t="s">
        <v>32</v>
      </c>
      <c r="I182" s="19" t="s">
        <v>32</v>
      </c>
      <c r="J182" s="13" t="s">
        <v>32</v>
      </c>
      <c r="K182" s="14" t="s">
        <v>34</v>
      </c>
      <c r="L182" s="14" t="s">
        <v>46</v>
      </c>
      <c r="M182" s="14" t="s">
        <v>35</v>
      </c>
      <c r="N182" s="15" t="s">
        <v>36</v>
      </c>
      <c r="O182" s="14" t="s">
        <v>800</v>
      </c>
      <c r="P182" s="14" t="s">
        <v>49</v>
      </c>
      <c r="Q182" s="14" t="s">
        <v>801</v>
      </c>
      <c r="R182" s="14" t="s">
        <v>49</v>
      </c>
      <c r="S182" s="14" t="s">
        <v>801</v>
      </c>
      <c r="T182" s="14">
        <f t="shared" si="1"/>
        <v>0</v>
      </c>
      <c r="U182" s="14">
        <f t="shared" si="2"/>
        <v>1</v>
      </c>
      <c r="V182" s="14">
        <f t="shared" si="3"/>
        <v>3</v>
      </c>
      <c r="W182" s="16">
        <f t="shared" si="4"/>
        <v>1</v>
      </c>
      <c r="X182" s="14" t="str">
        <f t="shared" si="5"/>
        <v>Hate Speech</v>
      </c>
      <c r="Y182" s="17">
        <f t="shared" si="6"/>
        <v>1.527525232</v>
      </c>
    </row>
    <row r="183">
      <c r="A183" s="7" t="s">
        <v>802</v>
      </c>
      <c r="B183" s="8" t="s">
        <v>803</v>
      </c>
      <c r="C183" s="9" t="s">
        <v>804</v>
      </c>
      <c r="D183" s="9" t="s">
        <v>459</v>
      </c>
      <c r="E183" s="10" t="s">
        <v>53</v>
      </c>
      <c r="F183" s="11" t="s">
        <v>54</v>
      </c>
      <c r="G183" s="12" t="s">
        <v>31</v>
      </c>
      <c r="H183" s="12" t="s">
        <v>31</v>
      </c>
      <c r="I183" s="19" t="s">
        <v>31</v>
      </c>
      <c r="J183" s="13" t="s">
        <v>32</v>
      </c>
      <c r="K183" s="14" t="s">
        <v>34</v>
      </c>
      <c r="L183" s="14" t="s">
        <v>55</v>
      </c>
      <c r="M183" s="14" t="s">
        <v>47</v>
      </c>
      <c r="N183" s="15" t="s">
        <v>36</v>
      </c>
      <c r="O183" s="14" t="s">
        <v>37</v>
      </c>
      <c r="P183" s="14" t="s">
        <v>36</v>
      </c>
      <c r="Q183" s="14" t="s">
        <v>37</v>
      </c>
      <c r="R183" s="14" t="s">
        <v>36</v>
      </c>
      <c r="S183" s="14" t="s">
        <v>37</v>
      </c>
      <c r="T183" s="14">
        <f t="shared" si="1"/>
        <v>0</v>
      </c>
      <c r="U183" s="14">
        <f t="shared" si="2"/>
        <v>3</v>
      </c>
      <c r="V183" s="14">
        <f t="shared" si="3"/>
        <v>1</v>
      </c>
      <c r="W183" s="16">
        <f t="shared" si="4"/>
        <v>1</v>
      </c>
      <c r="X183" s="14" t="str">
        <f t="shared" si="5"/>
        <v>Offensive</v>
      </c>
      <c r="Y183" s="17">
        <f t="shared" si="6"/>
        <v>1.527525232</v>
      </c>
    </row>
    <row r="184">
      <c r="A184" s="7" t="s">
        <v>805</v>
      </c>
      <c r="B184" s="8" t="s">
        <v>806</v>
      </c>
      <c r="C184" s="9" t="s">
        <v>807</v>
      </c>
      <c r="D184" s="9" t="s">
        <v>808</v>
      </c>
      <c r="E184" s="10" t="s">
        <v>196</v>
      </c>
      <c r="F184" s="18" t="s">
        <v>44</v>
      </c>
      <c r="G184" s="12" t="s">
        <v>31</v>
      </c>
      <c r="H184" s="12" t="s">
        <v>45</v>
      </c>
      <c r="I184" s="19" t="s">
        <v>32</v>
      </c>
      <c r="J184" s="13" t="s">
        <v>45</v>
      </c>
      <c r="K184" s="14" t="s">
        <v>34</v>
      </c>
      <c r="L184" s="14" t="s">
        <v>61</v>
      </c>
      <c r="M184" s="14" t="s">
        <v>35</v>
      </c>
      <c r="N184" s="15" t="s">
        <v>48</v>
      </c>
      <c r="O184" s="14" t="s">
        <v>809</v>
      </c>
      <c r="P184" s="14" t="s">
        <v>36</v>
      </c>
      <c r="Q184" s="14" t="s">
        <v>283</v>
      </c>
      <c r="R184" s="14" t="s">
        <v>49</v>
      </c>
      <c r="S184" s="14" t="s">
        <v>283</v>
      </c>
      <c r="T184" s="14">
        <f t="shared" si="1"/>
        <v>2</v>
      </c>
      <c r="U184" s="14">
        <f t="shared" si="2"/>
        <v>1</v>
      </c>
      <c r="V184" s="14">
        <f t="shared" si="3"/>
        <v>1</v>
      </c>
      <c r="W184" s="16">
        <f t="shared" si="4"/>
        <v>1</v>
      </c>
      <c r="X184" s="14" t="b">
        <f t="shared" si="5"/>
        <v>0</v>
      </c>
      <c r="Y184" s="17">
        <f t="shared" si="6"/>
        <v>0.5773502692</v>
      </c>
    </row>
    <row r="185">
      <c r="A185" s="7" t="s">
        <v>810</v>
      </c>
      <c r="B185" s="8" t="s">
        <v>811</v>
      </c>
      <c r="C185" s="9" t="s">
        <v>812</v>
      </c>
      <c r="D185" s="9" t="s">
        <v>109</v>
      </c>
      <c r="E185" s="10" t="s">
        <v>110</v>
      </c>
      <c r="F185" s="18" t="s">
        <v>44</v>
      </c>
      <c r="G185" s="12" t="s">
        <v>45</v>
      </c>
      <c r="H185" s="12" t="s">
        <v>45</v>
      </c>
      <c r="I185" s="19" t="s">
        <v>31</v>
      </c>
      <c r="J185" s="13" t="s">
        <v>45</v>
      </c>
      <c r="K185" s="14" t="s">
        <v>34</v>
      </c>
      <c r="L185" s="14" t="s">
        <v>33</v>
      </c>
      <c r="M185" s="14" t="s">
        <v>47</v>
      </c>
      <c r="N185" s="15" t="s">
        <v>49</v>
      </c>
      <c r="O185" s="14" t="s">
        <v>105</v>
      </c>
      <c r="P185" s="14" t="s">
        <v>48</v>
      </c>
      <c r="Q185" s="14" t="s">
        <v>42</v>
      </c>
      <c r="R185" s="14" t="s">
        <v>48</v>
      </c>
      <c r="S185" s="14" t="s">
        <v>105</v>
      </c>
      <c r="T185" s="14">
        <f t="shared" si="1"/>
        <v>3</v>
      </c>
      <c r="U185" s="14">
        <f t="shared" si="2"/>
        <v>1</v>
      </c>
      <c r="V185" s="14">
        <f t="shared" si="3"/>
        <v>0</v>
      </c>
      <c r="W185" s="16">
        <f t="shared" si="4"/>
        <v>1</v>
      </c>
      <c r="X185" s="14" t="str">
        <f t="shared" si="5"/>
        <v>Normal</v>
      </c>
      <c r="Y185" s="17">
        <f t="shared" si="6"/>
        <v>1.527525232</v>
      </c>
    </row>
    <row r="186">
      <c r="A186" s="7" t="s">
        <v>813</v>
      </c>
      <c r="B186" s="8" t="s">
        <v>814</v>
      </c>
      <c r="C186" s="9" t="s">
        <v>815</v>
      </c>
      <c r="D186" s="9" t="s">
        <v>93</v>
      </c>
      <c r="E186" s="10" t="s">
        <v>816</v>
      </c>
      <c r="F186" s="11" t="s">
        <v>54</v>
      </c>
      <c r="G186" s="12" t="s">
        <v>45</v>
      </c>
      <c r="H186" s="12" t="s">
        <v>31</v>
      </c>
      <c r="I186" s="19" t="s">
        <v>31</v>
      </c>
      <c r="J186" s="13" t="s">
        <v>31</v>
      </c>
      <c r="K186" s="14" t="s">
        <v>34</v>
      </c>
      <c r="L186" s="14" t="s">
        <v>46</v>
      </c>
      <c r="M186" s="14" t="s">
        <v>47</v>
      </c>
      <c r="N186" s="15" t="s">
        <v>49</v>
      </c>
      <c r="O186" s="14" t="s">
        <v>43</v>
      </c>
      <c r="P186" s="14" t="s">
        <v>48</v>
      </c>
      <c r="Q186" s="14" t="s">
        <v>42</v>
      </c>
      <c r="R186" s="14" t="s">
        <v>48</v>
      </c>
      <c r="S186" s="14" t="s">
        <v>42</v>
      </c>
      <c r="T186" s="14">
        <f t="shared" si="1"/>
        <v>1</v>
      </c>
      <c r="U186" s="14">
        <f t="shared" si="2"/>
        <v>3</v>
      </c>
      <c r="V186" s="14">
        <f t="shared" si="3"/>
        <v>0</v>
      </c>
      <c r="W186" s="16">
        <f t="shared" si="4"/>
        <v>1</v>
      </c>
      <c r="X186" s="14" t="str">
        <f t="shared" si="5"/>
        <v>Offensive</v>
      </c>
      <c r="Y186" s="17">
        <f t="shared" si="6"/>
        <v>1.527525232</v>
      </c>
    </row>
    <row r="187">
      <c r="A187" s="7" t="s">
        <v>817</v>
      </c>
      <c r="B187" s="8" t="s">
        <v>818</v>
      </c>
      <c r="C187" s="9" t="s">
        <v>819</v>
      </c>
      <c r="D187" s="9" t="s">
        <v>42</v>
      </c>
      <c r="E187" s="10" t="s">
        <v>820</v>
      </c>
      <c r="F187" s="11" t="s">
        <v>54</v>
      </c>
      <c r="G187" s="12" t="s">
        <v>45</v>
      </c>
      <c r="H187" s="12" t="s">
        <v>31</v>
      </c>
      <c r="I187" s="19" t="s">
        <v>32</v>
      </c>
      <c r="J187" s="13" t="s">
        <v>32</v>
      </c>
      <c r="K187" s="14" t="s">
        <v>34</v>
      </c>
      <c r="L187" s="14" t="s">
        <v>55</v>
      </c>
      <c r="M187" s="14" t="s">
        <v>35</v>
      </c>
      <c r="N187" s="15" t="s">
        <v>36</v>
      </c>
      <c r="O187" s="14" t="s">
        <v>37</v>
      </c>
      <c r="P187" s="14" t="s">
        <v>49</v>
      </c>
      <c r="Q187" s="14" t="s">
        <v>37</v>
      </c>
      <c r="R187" s="14" t="s">
        <v>49</v>
      </c>
      <c r="S187" s="14" t="s">
        <v>37</v>
      </c>
      <c r="T187" s="14">
        <f t="shared" si="1"/>
        <v>1</v>
      </c>
      <c r="U187" s="14">
        <f t="shared" si="2"/>
        <v>1</v>
      </c>
      <c r="V187" s="14">
        <f t="shared" si="3"/>
        <v>2</v>
      </c>
      <c r="W187" s="16">
        <f t="shared" si="4"/>
        <v>1</v>
      </c>
      <c r="X187" s="14" t="b">
        <f t="shared" si="5"/>
        <v>0</v>
      </c>
      <c r="Y187" s="17">
        <f t="shared" si="6"/>
        <v>0.5773502692</v>
      </c>
    </row>
    <row r="188">
      <c r="A188" s="7" t="s">
        <v>821</v>
      </c>
      <c r="B188" s="8" t="s">
        <v>822</v>
      </c>
      <c r="C188" s="9" t="s">
        <v>823</v>
      </c>
      <c r="D188" s="30" t="s">
        <v>459</v>
      </c>
      <c r="E188" s="10" t="s">
        <v>824</v>
      </c>
      <c r="F188" s="11" t="s">
        <v>54</v>
      </c>
      <c r="G188" s="31"/>
      <c r="H188" s="12" t="s">
        <v>45</v>
      </c>
      <c r="I188" s="19" t="s">
        <v>32</v>
      </c>
      <c r="J188" s="13" t="s">
        <v>32</v>
      </c>
      <c r="K188" s="14" t="s">
        <v>34</v>
      </c>
      <c r="L188" s="14" t="s">
        <v>61</v>
      </c>
      <c r="M188" s="14" t="s">
        <v>35</v>
      </c>
      <c r="N188" s="15" t="s">
        <v>49</v>
      </c>
      <c r="O188" s="14" t="s">
        <v>37</v>
      </c>
      <c r="P188" s="14" t="s">
        <v>36</v>
      </c>
      <c r="Q188" s="14" t="s">
        <v>37</v>
      </c>
      <c r="R188" s="14" t="s">
        <v>36</v>
      </c>
      <c r="S188" s="14" t="s">
        <v>37</v>
      </c>
      <c r="T188" s="14">
        <f t="shared" si="1"/>
        <v>1</v>
      </c>
      <c r="U188" s="14">
        <f t="shared" si="2"/>
        <v>0</v>
      </c>
      <c r="V188" s="14">
        <f t="shared" si="3"/>
        <v>2</v>
      </c>
      <c r="W188" s="16">
        <f t="shared" si="4"/>
        <v>0.75</v>
      </c>
      <c r="X188" s="14" t="b">
        <f t="shared" si="5"/>
        <v>0</v>
      </c>
      <c r="Y188" s="17">
        <f t="shared" si="6"/>
        <v>1</v>
      </c>
    </row>
    <row r="189">
      <c r="A189" s="7" t="s">
        <v>825</v>
      </c>
      <c r="B189" s="8" t="s">
        <v>826</v>
      </c>
      <c r="C189" s="9" t="s">
        <v>827</v>
      </c>
      <c r="D189" s="30" t="s">
        <v>459</v>
      </c>
      <c r="E189" s="10" t="s">
        <v>181</v>
      </c>
      <c r="F189" s="11" t="s">
        <v>54</v>
      </c>
      <c r="G189" s="32" t="s">
        <v>31</v>
      </c>
      <c r="H189" s="12" t="s">
        <v>31</v>
      </c>
      <c r="I189" s="19" t="s">
        <v>32</v>
      </c>
      <c r="J189" s="13" t="s">
        <v>32</v>
      </c>
      <c r="K189" s="14" t="s">
        <v>34</v>
      </c>
      <c r="L189" s="14" t="s">
        <v>33</v>
      </c>
      <c r="M189" s="14" t="s">
        <v>35</v>
      </c>
      <c r="N189" s="15" t="s">
        <v>36</v>
      </c>
      <c r="O189" s="14" t="s">
        <v>37</v>
      </c>
      <c r="P189" s="14" t="s">
        <v>49</v>
      </c>
      <c r="Q189" s="14" t="s">
        <v>37</v>
      </c>
      <c r="R189" s="14" t="s">
        <v>36</v>
      </c>
      <c r="S189" s="14" t="s">
        <v>37</v>
      </c>
      <c r="T189" s="14">
        <f t="shared" si="1"/>
        <v>0</v>
      </c>
      <c r="U189" s="14">
        <f t="shared" si="2"/>
        <v>2</v>
      </c>
      <c r="V189" s="14">
        <f t="shared" si="3"/>
        <v>2</v>
      </c>
      <c r="W189" s="16">
        <f t="shared" si="4"/>
        <v>1</v>
      </c>
      <c r="X189" s="14" t="b">
        <f t="shared" si="5"/>
        <v>0</v>
      </c>
      <c r="Y189" s="17">
        <f t="shared" si="6"/>
        <v>1.154700538</v>
      </c>
    </row>
    <row r="190">
      <c r="A190" s="7" t="s">
        <v>828</v>
      </c>
      <c r="B190" s="8" t="s">
        <v>829</v>
      </c>
      <c r="C190" s="9" t="s">
        <v>830</v>
      </c>
      <c r="D190" s="9" t="s">
        <v>42</v>
      </c>
      <c r="E190" s="10" t="s">
        <v>43</v>
      </c>
      <c r="F190" s="18" t="s">
        <v>44</v>
      </c>
      <c r="G190" s="12" t="s">
        <v>45</v>
      </c>
      <c r="H190" s="12" t="s">
        <v>45</v>
      </c>
      <c r="I190" s="19" t="s">
        <v>31</v>
      </c>
      <c r="J190" s="13" t="s">
        <v>31</v>
      </c>
      <c r="K190" s="14" t="s">
        <v>34</v>
      </c>
      <c r="L190" s="14" t="s">
        <v>46</v>
      </c>
      <c r="M190" s="14" t="s">
        <v>47</v>
      </c>
      <c r="N190" s="15" t="s">
        <v>49</v>
      </c>
      <c r="O190" s="14" t="s">
        <v>43</v>
      </c>
      <c r="P190" s="14" t="s">
        <v>49</v>
      </c>
      <c r="Q190" s="14" t="s">
        <v>43</v>
      </c>
      <c r="R190" s="14" t="s">
        <v>48</v>
      </c>
      <c r="S190" s="14" t="s">
        <v>42</v>
      </c>
      <c r="T190" s="14">
        <f t="shared" si="1"/>
        <v>2</v>
      </c>
      <c r="U190" s="14">
        <f t="shared" si="2"/>
        <v>2</v>
      </c>
      <c r="V190" s="14">
        <f t="shared" si="3"/>
        <v>0</v>
      </c>
      <c r="W190" s="16">
        <f t="shared" si="4"/>
        <v>1</v>
      </c>
      <c r="X190" s="14" t="b">
        <f t="shared" si="5"/>
        <v>0</v>
      </c>
      <c r="Y190" s="17">
        <f t="shared" si="6"/>
        <v>1.154700538</v>
      </c>
    </row>
    <row r="191">
      <c r="A191" s="7" t="s">
        <v>831</v>
      </c>
      <c r="B191" s="8" t="s">
        <v>832</v>
      </c>
      <c r="C191" s="9" t="s">
        <v>833</v>
      </c>
      <c r="D191" s="9" t="s">
        <v>42</v>
      </c>
      <c r="E191" s="10" t="s">
        <v>374</v>
      </c>
      <c r="F191" s="18" t="s">
        <v>44</v>
      </c>
      <c r="G191" s="12" t="s">
        <v>45</v>
      </c>
      <c r="H191" s="12" t="s">
        <v>45</v>
      </c>
      <c r="I191" s="19" t="s">
        <v>45</v>
      </c>
      <c r="J191" s="13" t="s">
        <v>45</v>
      </c>
      <c r="K191" s="14" t="s">
        <v>34</v>
      </c>
      <c r="L191" s="14" t="s">
        <v>55</v>
      </c>
      <c r="M191" s="14" t="s">
        <v>47</v>
      </c>
      <c r="N191" s="15" t="s">
        <v>48</v>
      </c>
      <c r="O191" s="14" t="s">
        <v>283</v>
      </c>
      <c r="P191" s="14" t="s">
        <v>48</v>
      </c>
      <c r="Q191" s="14" t="s">
        <v>283</v>
      </c>
      <c r="R191" s="14" t="s">
        <v>48</v>
      </c>
      <c r="S191" s="14" t="s">
        <v>42</v>
      </c>
      <c r="T191" s="14">
        <f t="shared" si="1"/>
        <v>4</v>
      </c>
      <c r="U191" s="14">
        <f t="shared" si="2"/>
        <v>0</v>
      </c>
      <c r="V191" s="14">
        <f t="shared" si="3"/>
        <v>0</v>
      </c>
      <c r="W191" s="16">
        <f t="shared" si="4"/>
        <v>1</v>
      </c>
      <c r="X191" s="14" t="str">
        <f t="shared" si="5"/>
        <v>Normal</v>
      </c>
      <c r="Y191" s="17">
        <f t="shared" si="6"/>
        <v>2.309401077</v>
      </c>
    </row>
    <row r="192">
      <c r="A192" s="7" t="s">
        <v>834</v>
      </c>
      <c r="B192" s="8" t="s">
        <v>835</v>
      </c>
      <c r="C192" s="9" t="s">
        <v>836</v>
      </c>
      <c r="D192" s="9" t="s">
        <v>347</v>
      </c>
      <c r="E192" s="10" t="s">
        <v>837</v>
      </c>
      <c r="F192" s="18" t="s">
        <v>44</v>
      </c>
      <c r="G192" s="12"/>
      <c r="H192" s="12" t="s">
        <v>45</v>
      </c>
      <c r="I192" s="19" t="s">
        <v>31</v>
      </c>
      <c r="J192" s="13" t="s">
        <v>45</v>
      </c>
      <c r="K192" s="14" t="s">
        <v>34</v>
      </c>
      <c r="L192" s="14" t="s">
        <v>61</v>
      </c>
      <c r="M192" s="14" t="s">
        <v>47</v>
      </c>
      <c r="N192" s="15" t="s">
        <v>49</v>
      </c>
      <c r="O192" s="14" t="s">
        <v>508</v>
      </c>
      <c r="P192" s="14" t="s">
        <v>48</v>
      </c>
      <c r="Q192" s="14" t="s">
        <v>42</v>
      </c>
      <c r="R192" s="14" t="s">
        <v>49</v>
      </c>
      <c r="S192" s="14" t="s">
        <v>838</v>
      </c>
      <c r="T192" s="14">
        <f t="shared" si="1"/>
        <v>2</v>
      </c>
      <c r="U192" s="14">
        <f t="shared" si="2"/>
        <v>1</v>
      </c>
      <c r="V192" s="14">
        <f t="shared" si="3"/>
        <v>0</v>
      </c>
      <c r="W192" s="16">
        <f t="shared" si="4"/>
        <v>0.75</v>
      </c>
      <c r="X192" s="14" t="b">
        <f t="shared" si="5"/>
        <v>0</v>
      </c>
      <c r="Y192" s="17">
        <f t="shared" si="6"/>
        <v>1</v>
      </c>
    </row>
    <row r="193">
      <c r="A193" s="7" t="s">
        <v>839</v>
      </c>
      <c r="B193" s="8" t="s">
        <v>840</v>
      </c>
      <c r="C193" s="9" t="s">
        <v>841</v>
      </c>
      <c r="D193" s="9" t="s">
        <v>42</v>
      </c>
      <c r="E193" s="10" t="s">
        <v>181</v>
      </c>
      <c r="F193" s="18" t="s">
        <v>44</v>
      </c>
      <c r="G193" s="12" t="s">
        <v>45</v>
      </c>
      <c r="H193" s="12" t="s">
        <v>45</v>
      </c>
      <c r="I193" s="19" t="s">
        <v>31</v>
      </c>
      <c r="J193" s="13" t="s">
        <v>45</v>
      </c>
      <c r="K193" s="14" t="s">
        <v>34</v>
      </c>
      <c r="L193" s="14" t="s">
        <v>33</v>
      </c>
      <c r="M193" s="14" t="s">
        <v>47</v>
      </c>
      <c r="N193" s="15" t="s">
        <v>48</v>
      </c>
      <c r="O193" s="14" t="s">
        <v>105</v>
      </c>
      <c r="P193" s="14" t="s">
        <v>48</v>
      </c>
      <c r="Q193" s="14" t="s">
        <v>42</v>
      </c>
      <c r="R193" s="14" t="s">
        <v>48</v>
      </c>
      <c r="S193" s="14" t="s">
        <v>42</v>
      </c>
      <c r="T193" s="14">
        <f t="shared" si="1"/>
        <v>3</v>
      </c>
      <c r="U193" s="14">
        <f t="shared" si="2"/>
        <v>1</v>
      </c>
      <c r="V193" s="14">
        <f t="shared" si="3"/>
        <v>0</v>
      </c>
      <c r="W193" s="16">
        <f t="shared" si="4"/>
        <v>1</v>
      </c>
      <c r="X193" s="14" t="str">
        <f t="shared" si="5"/>
        <v>Normal</v>
      </c>
      <c r="Y193" s="17">
        <f t="shared" si="6"/>
        <v>1.527525232</v>
      </c>
    </row>
    <row r="194">
      <c r="A194" s="7" t="s">
        <v>842</v>
      </c>
      <c r="B194" s="8" t="s">
        <v>843</v>
      </c>
      <c r="C194" s="9" t="s">
        <v>844</v>
      </c>
      <c r="D194" s="9" t="s">
        <v>42</v>
      </c>
      <c r="E194" s="10" t="s">
        <v>114</v>
      </c>
      <c r="F194" s="18" t="s">
        <v>44</v>
      </c>
      <c r="G194" s="12" t="s">
        <v>45</v>
      </c>
      <c r="H194" s="12" t="s">
        <v>31</v>
      </c>
      <c r="I194" s="19" t="s">
        <v>31</v>
      </c>
      <c r="J194" s="13" t="s">
        <v>45</v>
      </c>
      <c r="K194" s="14" t="s">
        <v>34</v>
      </c>
      <c r="L194" s="14" t="s">
        <v>46</v>
      </c>
      <c r="M194" s="14" t="s">
        <v>47</v>
      </c>
      <c r="N194" s="15" t="s">
        <v>36</v>
      </c>
      <c r="O194" s="14" t="s">
        <v>201</v>
      </c>
      <c r="P194" s="14" t="s">
        <v>36</v>
      </c>
      <c r="Q194" s="14" t="s">
        <v>115</v>
      </c>
      <c r="R194" s="14" t="s">
        <v>36</v>
      </c>
      <c r="S194" s="14" t="s">
        <v>115</v>
      </c>
      <c r="T194" s="14">
        <f t="shared" si="1"/>
        <v>2</v>
      </c>
      <c r="U194" s="14">
        <f t="shared" si="2"/>
        <v>2</v>
      </c>
      <c r="V194" s="14">
        <f t="shared" si="3"/>
        <v>0</v>
      </c>
      <c r="W194" s="16">
        <f t="shared" si="4"/>
        <v>1</v>
      </c>
      <c r="X194" s="14" t="b">
        <f t="shared" si="5"/>
        <v>0</v>
      </c>
      <c r="Y194" s="17">
        <f t="shared" si="6"/>
        <v>1.154700538</v>
      </c>
    </row>
    <row r="195">
      <c r="A195" s="7" t="s">
        <v>845</v>
      </c>
      <c r="B195" s="8" t="s">
        <v>846</v>
      </c>
      <c r="C195" s="9" t="s">
        <v>847</v>
      </c>
      <c r="D195" s="9" t="s">
        <v>848</v>
      </c>
      <c r="E195" s="10" t="s">
        <v>374</v>
      </c>
      <c r="F195" s="18" t="s">
        <v>44</v>
      </c>
      <c r="G195" s="12" t="s">
        <v>45</v>
      </c>
      <c r="H195" s="12" t="s">
        <v>31</v>
      </c>
      <c r="I195" s="19" t="s">
        <v>45</v>
      </c>
      <c r="J195" s="13" t="s">
        <v>45</v>
      </c>
      <c r="K195" s="14" t="s">
        <v>34</v>
      </c>
      <c r="L195" s="14" t="s">
        <v>55</v>
      </c>
      <c r="M195" s="14" t="s">
        <v>35</v>
      </c>
      <c r="N195" s="15" t="s">
        <v>49</v>
      </c>
      <c r="O195" s="14" t="s">
        <v>283</v>
      </c>
      <c r="P195" s="14" t="s">
        <v>48</v>
      </c>
      <c r="Q195" s="14" t="s">
        <v>283</v>
      </c>
      <c r="R195" s="14" t="s">
        <v>48</v>
      </c>
      <c r="S195" s="14" t="s">
        <v>42</v>
      </c>
      <c r="T195" s="14">
        <f t="shared" si="1"/>
        <v>3</v>
      </c>
      <c r="U195" s="14">
        <f t="shared" si="2"/>
        <v>1</v>
      </c>
      <c r="V195" s="14">
        <f t="shared" si="3"/>
        <v>0</v>
      </c>
      <c r="W195" s="16">
        <f t="shared" si="4"/>
        <v>1</v>
      </c>
      <c r="X195" s="14" t="str">
        <f t="shared" si="5"/>
        <v>Normal</v>
      </c>
      <c r="Y195" s="17">
        <f t="shared" si="6"/>
        <v>1.527525232</v>
      </c>
    </row>
    <row r="196">
      <c r="A196" s="7" t="s">
        <v>849</v>
      </c>
      <c r="B196" s="8" t="s">
        <v>850</v>
      </c>
      <c r="C196" s="9" t="s">
        <v>851</v>
      </c>
      <c r="D196" s="9" t="s">
        <v>848</v>
      </c>
      <c r="E196" s="10" t="s">
        <v>196</v>
      </c>
      <c r="F196" s="18" t="s">
        <v>44</v>
      </c>
      <c r="G196" s="12" t="s">
        <v>45</v>
      </c>
      <c r="H196" s="12" t="s">
        <v>45</v>
      </c>
      <c r="I196" s="19" t="s">
        <v>45</v>
      </c>
      <c r="J196" s="13" t="s">
        <v>45</v>
      </c>
      <c r="K196" s="14" t="s">
        <v>34</v>
      </c>
      <c r="L196" s="14" t="s">
        <v>61</v>
      </c>
      <c r="M196" s="14" t="s">
        <v>47</v>
      </c>
      <c r="N196" s="15" t="s">
        <v>48</v>
      </c>
      <c r="O196" s="14" t="s">
        <v>42</v>
      </c>
      <c r="P196" s="14" t="s">
        <v>48</v>
      </c>
      <c r="Q196" s="14" t="s">
        <v>42</v>
      </c>
      <c r="R196" s="14" t="s">
        <v>48</v>
      </c>
      <c r="S196" s="14" t="s">
        <v>42</v>
      </c>
      <c r="T196" s="14">
        <f t="shared" si="1"/>
        <v>4</v>
      </c>
      <c r="U196" s="14">
        <f t="shared" si="2"/>
        <v>0</v>
      </c>
      <c r="V196" s="14">
        <f t="shared" si="3"/>
        <v>0</v>
      </c>
      <c r="W196" s="16">
        <f t="shared" si="4"/>
        <v>1</v>
      </c>
      <c r="X196" s="14" t="str">
        <f t="shared" si="5"/>
        <v>Normal</v>
      </c>
      <c r="Y196" s="17">
        <f t="shared" si="6"/>
        <v>2.309401077</v>
      </c>
    </row>
    <row r="197">
      <c r="A197" s="7" t="s">
        <v>852</v>
      </c>
      <c r="B197" s="8" t="s">
        <v>853</v>
      </c>
      <c r="C197" s="9" t="s">
        <v>854</v>
      </c>
      <c r="D197" s="9" t="s">
        <v>848</v>
      </c>
      <c r="E197" s="10" t="s">
        <v>110</v>
      </c>
      <c r="F197" s="18" t="s">
        <v>44</v>
      </c>
      <c r="G197" s="12" t="s">
        <v>45</v>
      </c>
      <c r="H197" s="12" t="s">
        <v>45</v>
      </c>
      <c r="I197" s="19" t="s">
        <v>31</v>
      </c>
      <c r="J197" s="13" t="s">
        <v>45</v>
      </c>
      <c r="K197" s="14" t="s">
        <v>34</v>
      </c>
      <c r="L197" s="14" t="s">
        <v>33</v>
      </c>
      <c r="M197" s="14" t="s">
        <v>47</v>
      </c>
      <c r="N197" s="15" t="s">
        <v>49</v>
      </c>
      <c r="O197" s="14" t="s">
        <v>42</v>
      </c>
      <c r="P197" s="14" t="s">
        <v>36</v>
      </c>
      <c r="Q197" s="14" t="s">
        <v>105</v>
      </c>
      <c r="R197" s="14" t="s">
        <v>49</v>
      </c>
      <c r="S197" s="14" t="s">
        <v>42</v>
      </c>
      <c r="T197" s="14">
        <f t="shared" si="1"/>
        <v>3</v>
      </c>
      <c r="U197" s="14">
        <f t="shared" si="2"/>
        <v>1</v>
      </c>
      <c r="V197" s="14">
        <f t="shared" si="3"/>
        <v>0</v>
      </c>
      <c r="W197" s="16">
        <f t="shared" si="4"/>
        <v>1</v>
      </c>
      <c r="X197" s="14" t="str">
        <f t="shared" si="5"/>
        <v>Normal</v>
      </c>
      <c r="Y197" s="17">
        <f t="shared" si="6"/>
        <v>1.527525232</v>
      </c>
    </row>
    <row r="198">
      <c r="A198" s="7" t="s">
        <v>855</v>
      </c>
      <c r="B198" s="8" t="s">
        <v>856</v>
      </c>
      <c r="C198" s="9" t="s">
        <v>857</v>
      </c>
      <c r="D198" s="9" t="s">
        <v>707</v>
      </c>
      <c r="E198" s="10" t="s">
        <v>137</v>
      </c>
      <c r="F198" s="11" t="s">
        <v>137</v>
      </c>
      <c r="G198" s="12" t="s">
        <v>31</v>
      </c>
      <c r="H198" s="12" t="s">
        <v>31</v>
      </c>
      <c r="I198" s="19" t="s">
        <v>32</v>
      </c>
      <c r="J198" s="13" t="s">
        <v>32</v>
      </c>
      <c r="K198" s="14" t="s">
        <v>34</v>
      </c>
      <c r="L198" s="14" t="s">
        <v>46</v>
      </c>
      <c r="M198" s="14" t="s">
        <v>35</v>
      </c>
      <c r="N198" s="15" t="s">
        <v>49</v>
      </c>
      <c r="O198" s="14" t="s">
        <v>138</v>
      </c>
      <c r="P198" s="14" t="s">
        <v>36</v>
      </c>
      <c r="Q198" s="14" t="s">
        <v>138</v>
      </c>
      <c r="R198" s="14" t="s">
        <v>36</v>
      </c>
      <c r="S198" s="14" t="s">
        <v>138</v>
      </c>
      <c r="T198" s="14">
        <f t="shared" si="1"/>
        <v>0</v>
      </c>
      <c r="U198" s="14">
        <f t="shared" si="2"/>
        <v>2</v>
      </c>
      <c r="V198" s="14">
        <f t="shared" si="3"/>
        <v>2</v>
      </c>
      <c r="W198" s="16">
        <f t="shared" si="4"/>
        <v>1</v>
      </c>
      <c r="X198" s="14" t="b">
        <f t="shared" si="5"/>
        <v>0</v>
      </c>
      <c r="Y198" s="17">
        <f t="shared" si="6"/>
        <v>1.154700538</v>
      </c>
    </row>
    <row r="199">
      <c r="A199" s="7" t="s">
        <v>858</v>
      </c>
      <c r="B199" s="8" t="s">
        <v>859</v>
      </c>
      <c r="C199" s="9" t="s">
        <v>860</v>
      </c>
      <c r="D199" s="9" t="s">
        <v>861</v>
      </c>
      <c r="E199" s="10" t="s">
        <v>862</v>
      </c>
      <c r="F199" s="11" t="s">
        <v>464</v>
      </c>
      <c r="G199" s="12" t="s">
        <v>31</v>
      </c>
      <c r="H199" s="12" t="s">
        <v>32</v>
      </c>
      <c r="I199" s="19" t="s">
        <v>32</v>
      </c>
      <c r="J199" s="13" t="s">
        <v>32</v>
      </c>
      <c r="K199" s="14" t="s">
        <v>34</v>
      </c>
      <c r="L199" s="14" t="s">
        <v>55</v>
      </c>
      <c r="M199" s="14" t="s">
        <v>35</v>
      </c>
      <c r="N199" s="15" t="s">
        <v>49</v>
      </c>
      <c r="O199" s="14" t="s">
        <v>863</v>
      </c>
      <c r="P199" s="14" t="s">
        <v>49</v>
      </c>
      <c r="Q199" s="14" t="s">
        <v>83</v>
      </c>
      <c r="R199" s="14" t="s">
        <v>36</v>
      </c>
      <c r="S199" s="14" t="s">
        <v>83</v>
      </c>
      <c r="T199" s="14">
        <f t="shared" si="1"/>
        <v>0</v>
      </c>
      <c r="U199" s="14">
        <f t="shared" si="2"/>
        <v>1</v>
      </c>
      <c r="V199" s="14">
        <f t="shared" si="3"/>
        <v>3</v>
      </c>
      <c r="W199" s="16">
        <f t="shared" si="4"/>
        <v>1</v>
      </c>
      <c r="X199" s="14" t="str">
        <f t="shared" si="5"/>
        <v>Hate Speech</v>
      </c>
      <c r="Y199" s="17">
        <f t="shared" si="6"/>
        <v>1.527525232</v>
      </c>
    </row>
    <row r="200">
      <c r="A200" s="7" t="s">
        <v>864</v>
      </c>
      <c r="B200" s="8" t="s">
        <v>865</v>
      </c>
      <c r="C200" s="9" t="s">
        <v>866</v>
      </c>
      <c r="D200" s="9" t="s">
        <v>848</v>
      </c>
      <c r="E200" s="10" t="s">
        <v>196</v>
      </c>
      <c r="F200" s="11" t="s">
        <v>54</v>
      </c>
      <c r="G200" s="12" t="s">
        <v>45</v>
      </c>
      <c r="H200" s="12" t="s">
        <v>45</v>
      </c>
      <c r="I200" s="19" t="s">
        <v>31</v>
      </c>
      <c r="J200" s="13" t="s">
        <v>31</v>
      </c>
      <c r="K200" s="14" t="s">
        <v>34</v>
      </c>
      <c r="L200" s="14" t="s">
        <v>61</v>
      </c>
      <c r="M200" s="14" t="s">
        <v>47</v>
      </c>
      <c r="N200" s="15" t="s">
        <v>48</v>
      </c>
      <c r="O200" s="14" t="s">
        <v>42</v>
      </c>
      <c r="P200" s="14" t="s">
        <v>48</v>
      </c>
      <c r="Q200" s="14" t="s">
        <v>42</v>
      </c>
      <c r="R200" s="14" t="s">
        <v>48</v>
      </c>
      <c r="S200" s="14" t="s">
        <v>42</v>
      </c>
      <c r="T200" s="14">
        <f t="shared" si="1"/>
        <v>2</v>
      </c>
      <c r="U200" s="14">
        <f t="shared" si="2"/>
        <v>2</v>
      </c>
      <c r="V200" s="14">
        <f t="shared" si="3"/>
        <v>0</v>
      </c>
      <c r="W200" s="16">
        <f t="shared" si="4"/>
        <v>1</v>
      </c>
      <c r="X200" s="14" t="b">
        <f t="shared" si="5"/>
        <v>0</v>
      </c>
      <c r="Y200" s="17">
        <f t="shared" si="6"/>
        <v>1.154700538</v>
      </c>
    </row>
    <row r="201">
      <c r="A201" s="7" t="s">
        <v>867</v>
      </c>
      <c r="B201" s="8" t="s">
        <v>868</v>
      </c>
      <c r="C201" s="9" t="s">
        <v>869</v>
      </c>
      <c r="D201" s="9" t="s">
        <v>83</v>
      </c>
      <c r="E201" s="10" t="s">
        <v>121</v>
      </c>
      <c r="F201" s="18" t="s">
        <v>44</v>
      </c>
      <c r="G201" s="12" t="s">
        <v>45</v>
      </c>
      <c r="H201" s="12" t="s">
        <v>45</v>
      </c>
      <c r="I201" s="19" t="s">
        <v>31</v>
      </c>
      <c r="J201" s="13" t="s">
        <v>45</v>
      </c>
      <c r="K201" s="14" t="s">
        <v>34</v>
      </c>
      <c r="L201" s="14" t="s">
        <v>33</v>
      </c>
      <c r="M201" s="14" t="s">
        <v>35</v>
      </c>
      <c r="N201" s="15" t="s">
        <v>49</v>
      </c>
      <c r="O201" s="14" t="s">
        <v>83</v>
      </c>
      <c r="P201" s="14" t="s">
        <v>49</v>
      </c>
      <c r="Q201" s="14" t="s">
        <v>83</v>
      </c>
      <c r="R201" s="14" t="s">
        <v>36</v>
      </c>
      <c r="S201" s="14" t="s">
        <v>83</v>
      </c>
      <c r="T201" s="14">
        <f t="shared" si="1"/>
        <v>3</v>
      </c>
      <c r="U201" s="14">
        <f t="shared" si="2"/>
        <v>1</v>
      </c>
      <c r="V201" s="14">
        <f t="shared" si="3"/>
        <v>0</v>
      </c>
      <c r="W201" s="16">
        <f t="shared" si="4"/>
        <v>1</v>
      </c>
      <c r="X201" s="14" t="str">
        <f t="shared" si="5"/>
        <v>Normal</v>
      </c>
      <c r="Y201" s="17">
        <f t="shared" si="6"/>
        <v>1.527525232</v>
      </c>
    </row>
    <row r="202">
      <c r="A202" s="7" t="s">
        <v>870</v>
      </c>
      <c r="B202" s="8" t="s">
        <v>871</v>
      </c>
      <c r="C202" s="9" t="s">
        <v>872</v>
      </c>
      <c r="D202" s="9" t="s">
        <v>873</v>
      </c>
      <c r="E202" s="10" t="s">
        <v>874</v>
      </c>
      <c r="F202" s="11" t="s">
        <v>43</v>
      </c>
      <c r="G202" s="12" t="s">
        <v>31</v>
      </c>
      <c r="H202" s="12" t="s">
        <v>32</v>
      </c>
      <c r="I202" s="19" t="s">
        <v>31</v>
      </c>
      <c r="J202" s="13" t="s">
        <v>31</v>
      </c>
      <c r="K202" s="14" t="s">
        <v>46</v>
      </c>
      <c r="L202" s="14" t="s">
        <v>55</v>
      </c>
      <c r="M202" s="14" t="s">
        <v>35</v>
      </c>
      <c r="N202" s="15" t="s">
        <v>36</v>
      </c>
      <c r="O202" s="14" t="s">
        <v>105</v>
      </c>
      <c r="P202" s="14" t="s">
        <v>49</v>
      </c>
      <c r="Q202" s="14" t="s">
        <v>120</v>
      </c>
      <c r="R202" s="14" t="s">
        <v>36</v>
      </c>
      <c r="S202" s="14" t="s">
        <v>105</v>
      </c>
      <c r="T202" s="14">
        <f t="shared" si="1"/>
        <v>0</v>
      </c>
      <c r="U202" s="14">
        <f t="shared" si="2"/>
        <v>3</v>
      </c>
      <c r="V202" s="14">
        <f t="shared" si="3"/>
        <v>1</v>
      </c>
      <c r="W202" s="16">
        <f t="shared" si="4"/>
        <v>1</v>
      </c>
      <c r="X202" s="14" t="str">
        <f t="shared" si="5"/>
        <v>Offensive</v>
      </c>
      <c r="Y202" s="17">
        <f t="shared" si="6"/>
        <v>1.527525232</v>
      </c>
    </row>
    <row r="203">
      <c r="A203" s="7" t="s">
        <v>875</v>
      </c>
      <c r="B203" s="8" t="s">
        <v>876</v>
      </c>
      <c r="C203" s="9" t="s">
        <v>877</v>
      </c>
      <c r="D203" s="9" t="s">
        <v>878</v>
      </c>
      <c r="E203" s="10" t="s">
        <v>879</v>
      </c>
      <c r="F203" s="11" t="s">
        <v>54</v>
      </c>
      <c r="G203" s="12" t="s">
        <v>45</v>
      </c>
      <c r="H203" s="12" t="s">
        <v>31</v>
      </c>
      <c r="I203" s="19" t="s">
        <v>31</v>
      </c>
      <c r="J203" s="13" t="s">
        <v>31</v>
      </c>
      <c r="K203" s="14" t="s">
        <v>46</v>
      </c>
      <c r="L203" s="14" t="s">
        <v>61</v>
      </c>
      <c r="M203" s="14" t="s">
        <v>47</v>
      </c>
      <c r="N203" s="15" t="s">
        <v>48</v>
      </c>
      <c r="O203" s="14" t="s">
        <v>37</v>
      </c>
      <c r="P203" s="14" t="s">
        <v>48</v>
      </c>
      <c r="Q203" s="14" t="s">
        <v>42</v>
      </c>
      <c r="R203" s="14" t="s">
        <v>36</v>
      </c>
      <c r="S203" s="14" t="s">
        <v>37</v>
      </c>
      <c r="T203" s="14">
        <f t="shared" si="1"/>
        <v>1</v>
      </c>
      <c r="U203" s="14">
        <f t="shared" si="2"/>
        <v>3</v>
      </c>
      <c r="V203" s="14">
        <f t="shared" si="3"/>
        <v>0</v>
      </c>
      <c r="W203" s="16">
        <f t="shared" si="4"/>
        <v>1</v>
      </c>
      <c r="X203" s="14" t="str">
        <f t="shared" si="5"/>
        <v>Offensive</v>
      </c>
      <c r="Y203" s="17">
        <f t="shared" si="6"/>
        <v>1.527525232</v>
      </c>
    </row>
    <row r="204">
      <c r="A204" s="7" t="s">
        <v>880</v>
      </c>
      <c r="B204" s="8" t="s">
        <v>881</v>
      </c>
      <c r="C204" s="9" t="s">
        <v>882</v>
      </c>
      <c r="D204" s="9" t="s">
        <v>225</v>
      </c>
      <c r="E204" s="10" t="s">
        <v>43</v>
      </c>
      <c r="F204" s="11" t="s">
        <v>43</v>
      </c>
      <c r="G204" s="12" t="s">
        <v>31</v>
      </c>
      <c r="H204" s="12" t="s">
        <v>162</v>
      </c>
      <c r="I204" s="19" t="s">
        <v>31</v>
      </c>
      <c r="J204" s="13" t="s">
        <v>32</v>
      </c>
      <c r="K204" s="14" t="s">
        <v>46</v>
      </c>
      <c r="L204" s="14" t="s">
        <v>33</v>
      </c>
      <c r="M204" s="14" t="s">
        <v>35</v>
      </c>
      <c r="N204" s="15" t="s">
        <v>49</v>
      </c>
      <c r="O204" s="14" t="s">
        <v>42</v>
      </c>
      <c r="P204" s="14" t="s">
        <v>36</v>
      </c>
      <c r="Q204" s="14" t="s">
        <v>43</v>
      </c>
      <c r="R204" s="14" t="s">
        <v>36</v>
      </c>
      <c r="S204" s="14" t="s">
        <v>43</v>
      </c>
      <c r="T204" s="14">
        <f t="shared" si="1"/>
        <v>0</v>
      </c>
      <c r="U204" s="14">
        <f t="shared" si="2"/>
        <v>3</v>
      </c>
      <c r="V204" s="14">
        <f t="shared" si="3"/>
        <v>1</v>
      </c>
      <c r="W204" s="16">
        <f t="shared" si="4"/>
        <v>1</v>
      </c>
      <c r="X204" s="14" t="str">
        <f t="shared" si="5"/>
        <v>Offensive</v>
      </c>
      <c r="Y204" s="17">
        <f t="shared" si="6"/>
        <v>1.527525232</v>
      </c>
    </row>
    <row r="205">
      <c r="A205" s="7" t="s">
        <v>883</v>
      </c>
      <c r="B205" s="8" t="s">
        <v>884</v>
      </c>
      <c r="C205" s="9" t="s">
        <v>885</v>
      </c>
      <c r="D205" s="26" t="s">
        <v>42</v>
      </c>
      <c r="E205" s="10" t="s">
        <v>886</v>
      </c>
      <c r="F205" s="11" t="s">
        <v>155</v>
      </c>
      <c r="G205" s="12" t="s">
        <v>45</v>
      </c>
      <c r="H205" s="12" t="s">
        <v>45</v>
      </c>
      <c r="I205" s="12" t="s">
        <v>32</v>
      </c>
      <c r="J205" s="13" t="s">
        <v>32</v>
      </c>
      <c r="K205" s="14" t="s">
        <v>46</v>
      </c>
      <c r="L205" s="14" t="s">
        <v>34</v>
      </c>
      <c r="M205" s="14" t="s">
        <v>35</v>
      </c>
      <c r="N205" s="15" t="s">
        <v>49</v>
      </c>
      <c r="O205" s="14" t="s">
        <v>887</v>
      </c>
      <c r="P205" s="14" t="s">
        <v>48</v>
      </c>
      <c r="Q205" s="14" t="s">
        <v>42</v>
      </c>
      <c r="R205" s="14" t="s">
        <v>36</v>
      </c>
      <c r="S205" s="14" t="s">
        <v>887</v>
      </c>
      <c r="T205" s="14">
        <f t="shared" si="1"/>
        <v>2</v>
      </c>
      <c r="U205" s="14">
        <f t="shared" si="2"/>
        <v>0</v>
      </c>
      <c r="V205" s="14">
        <f t="shared" si="3"/>
        <v>2</v>
      </c>
      <c r="W205" s="16">
        <f t="shared" si="4"/>
        <v>1</v>
      </c>
      <c r="X205" s="14" t="b">
        <f t="shared" si="5"/>
        <v>0</v>
      </c>
      <c r="Y205" s="17">
        <f t="shared" si="6"/>
        <v>1.154700538</v>
      </c>
    </row>
    <row r="206">
      <c r="A206" s="7" t="s">
        <v>888</v>
      </c>
      <c r="B206" s="8" t="s">
        <v>889</v>
      </c>
      <c r="C206" s="9" t="s">
        <v>890</v>
      </c>
      <c r="D206" s="9" t="s">
        <v>891</v>
      </c>
      <c r="E206" s="10" t="s">
        <v>892</v>
      </c>
      <c r="F206" s="11" t="s">
        <v>265</v>
      </c>
      <c r="G206" s="12" t="s">
        <v>31</v>
      </c>
      <c r="H206" s="12" t="s">
        <v>31</v>
      </c>
      <c r="I206" s="19" t="s">
        <v>32</v>
      </c>
      <c r="J206" s="13" t="s">
        <v>32</v>
      </c>
      <c r="K206" s="14" t="s">
        <v>46</v>
      </c>
      <c r="L206" s="14" t="s">
        <v>55</v>
      </c>
      <c r="M206" s="14" t="s">
        <v>47</v>
      </c>
      <c r="N206" s="15" t="s">
        <v>36</v>
      </c>
      <c r="O206" s="14" t="s">
        <v>210</v>
      </c>
      <c r="P206" s="14" t="s">
        <v>36</v>
      </c>
      <c r="Q206" s="14" t="s">
        <v>210</v>
      </c>
      <c r="R206" s="14" t="s">
        <v>36</v>
      </c>
      <c r="S206" s="14" t="s">
        <v>37</v>
      </c>
      <c r="T206" s="14">
        <f t="shared" si="1"/>
        <v>0</v>
      </c>
      <c r="U206" s="14">
        <f t="shared" si="2"/>
        <v>2</v>
      </c>
      <c r="V206" s="14">
        <f t="shared" si="3"/>
        <v>2</v>
      </c>
      <c r="W206" s="16">
        <f t="shared" si="4"/>
        <v>1</v>
      </c>
      <c r="X206" s="14" t="b">
        <f t="shared" si="5"/>
        <v>0</v>
      </c>
      <c r="Y206" s="17">
        <f t="shared" si="6"/>
        <v>1.154700538</v>
      </c>
    </row>
    <row r="207">
      <c r="A207" s="7" t="s">
        <v>893</v>
      </c>
      <c r="B207" s="8" t="s">
        <v>894</v>
      </c>
      <c r="C207" s="9" t="s">
        <v>895</v>
      </c>
      <c r="D207" s="9" t="s">
        <v>896</v>
      </c>
      <c r="E207" s="10" t="s">
        <v>897</v>
      </c>
      <c r="F207" s="11" t="s">
        <v>898</v>
      </c>
      <c r="G207" s="12" t="s">
        <v>45</v>
      </c>
      <c r="H207" s="12" t="s">
        <v>45</v>
      </c>
      <c r="I207" s="19" t="s">
        <v>32</v>
      </c>
      <c r="J207" s="13" t="s">
        <v>31</v>
      </c>
      <c r="K207" s="14" t="s">
        <v>46</v>
      </c>
      <c r="L207" s="14" t="s">
        <v>61</v>
      </c>
      <c r="M207" s="14" t="s">
        <v>35</v>
      </c>
      <c r="N207" s="15" t="s">
        <v>48</v>
      </c>
      <c r="O207" s="14" t="s">
        <v>138</v>
      </c>
      <c r="P207" s="14" t="s">
        <v>49</v>
      </c>
      <c r="Q207" s="14" t="s">
        <v>899</v>
      </c>
      <c r="R207" s="14" t="s">
        <v>49</v>
      </c>
      <c r="S207" s="14" t="s">
        <v>62</v>
      </c>
      <c r="T207" s="14">
        <f t="shared" si="1"/>
        <v>2</v>
      </c>
      <c r="U207" s="14">
        <f t="shared" si="2"/>
        <v>1</v>
      </c>
      <c r="V207" s="14">
        <f t="shared" si="3"/>
        <v>1</v>
      </c>
      <c r="W207" s="16">
        <f t="shared" si="4"/>
        <v>1</v>
      </c>
      <c r="X207" s="14" t="b">
        <f t="shared" si="5"/>
        <v>0</v>
      </c>
      <c r="Y207" s="17">
        <f t="shared" si="6"/>
        <v>0.5773502692</v>
      </c>
    </row>
    <row r="208">
      <c r="A208" s="7" t="s">
        <v>900</v>
      </c>
      <c r="B208" s="8" t="s">
        <v>901</v>
      </c>
      <c r="C208" s="9" t="s">
        <v>902</v>
      </c>
      <c r="D208" s="9" t="s">
        <v>848</v>
      </c>
      <c r="E208" s="10" t="s">
        <v>43</v>
      </c>
      <c r="F208" s="18" t="s">
        <v>44</v>
      </c>
      <c r="G208" s="12" t="s">
        <v>45</v>
      </c>
      <c r="H208" s="12" t="s">
        <v>45</v>
      </c>
      <c r="I208" s="19" t="s">
        <v>45</v>
      </c>
      <c r="J208" s="13" t="s">
        <v>45</v>
      </c>
      <c r="K208" s="14" t="s">
        <v>46</v>
      </c>
      <c r="L208" s="14" t="s">
        <v>33</v>
      </c>
      <c r="M208" s="14" t="s">
        <v>47</v>
      </c>
      <c r="N208" s="15" t="s">
        <v>48</v>
      </c>
      <c r="O208" s="14" t="s">
        <v>42</v>
      </c>
      <c r="P208" s="14" t="s">
        <v>48</v>
      </c>
      <c r="Q208" s="14" t="s">
        <v>42</v>
      </c>
      <c r="R208" s="14" t="s">
        <v>48</v>
      </c>
      <c r="S208" s="14" t="s">
        <v>42</v>
      </c>
      <c r="T208" s="14">
        <f t="shared" si="1"/>
        <v>4</v>
      </c>
      <c r="U208" s="14">
        <f t="shared" si="2"/>
        <v>0</v>
      </c>
      <c r="V208" s="14">
        <f t="shared" si="3"/>
        <v>0</v>
      </c>
      <c r="W208" s="16">
        <f t="shared" si="4"/>
        <v>1</v>
      </c>
      <c r="X208" s="14" t="str">
        <f t="shared" si="5"/>
        <v>Normal</v>
      </c>
      <c r="Y208" s="17">
        <f t="shared" si="6"/>
        <v>2.309401077</v>
      </c>
    </row>
    <row r="209">
      <c r="A209" s="7" t="s">
        <v>903</v>
      </c>
      <c r="B209" s="8" t="s">
        <v>904</v>
      </c>
      <c r="C209" s="9" t="s">
        <v>905</v>
      </c>
      <c r="D209" s="9" t="s">
        <v>848</v>
      </c>
      <c r="E209" s="10" t="s">
        <v>906</v>
      </c>
      <c r="F209" s="11" t="s">
        <v>907</v>
      </c>
      <c r="G209" s="12" t="s">
        <v>45</v>
      </c>
      <c r="H209" s="12" t="s">
        <v>45</v>
      </c>
      <c r="I209" s="12" t="s">
        <v>32</v>
      </c>
      <c r="J209" s="13" t="s">
        <v>32</v>
      </c>
      <c r="K209" s="14" t="s">
        <v>46</v>
      </c>
      <c r="L209" s="14" t="s">
        <v>34</v>
      </c>
      <c r="M209" s="14" t="s">
        <v>35</v>
      </c>
      <c r="N209" s="15" t="s">
        <v>36</v>
      </c>
      <c r="O209" s="14" t="s">
        <v>908</v>
      </c>
      <c r="P209" s="14" t="s">
        <v>36</v>
      </c>
      <c r="Q209" s="14" t="s">
        <v>139</v>
      </c>
      <c r="R209" s="14" t="s">
        <v>36</v>
      </c>
      <c r="S209" s="14" t="s">
        <v>908</v>
      </c>
      <c r="T209" s="14">
        <f t="shared" si="1"/>
        <v>2</v>
      </c>
      <c r="U209" s="14">
        <f t="shared" si="2"/>
        <v>0</v>
      </c>
      <c r="V209" s="14">
        <f t="shared" si="3"/>
        <v>2</v>
      </c>
      <c r="W209" s="16">
        <f t="shared" si="4"/>
        <v>1</v>
      </c>
      <c r="X209" s="14" t="b">
        <f t="shared" si="5"/>
        <v>0</v>
      </c>
      <c r="Y209" s="17">
        <f t="shared" si="6"/>
        <v>1.154700538</v>
      </c>
    </row>
    <row r="210">
      <c r="A210" s="7" t="s">
        <v>909</v>
      </c>
      <c r="B210" s="8" t="s">
        <v>910</v>
      </c>
      <c r="C210" s="9" t="s">
        <v>911</v>
      </c>
      <c r="D210" s="9" t="s">
        <v>848</v>
      </c>
      <c r="E210" s="10" t="s">
        <v>820</v>
      </c>
      <c r="F210" s="18" t="s">
        <v>44</v>
      </c>
      <c r="G210" s="12" t="s">
        <v>45</v>
      </c>
      <c r="H210" s="12" t="s">
        <v>45</v>
      </c>
      <c r="I210" s="19" t="s">
        <v>31</v>
      </c>
      <c r="J210" s="13" t="s">
        <v>45</v>
      </c>
      <c r="K210" s="14" t="s">
        <v>46</v>
      </c>
      <c r="L210" s="14" t="s">
        <v>55</v>
      </c>
      <c r="M210" s="14" t="s">
        <v>47</v>
      </c>
      <c r="N210" s="15" t="s">
        <v>48</v>
      </c>
      <c r="O210" s="14" t="s">
        <v>42</v>
      </c>
      <c r="P210" s="14" t="s">
        <v>48</v>
      </c>
      <c r="Q210" s="14" t="s">
        <v>42</v>
      </c>
      <c r="R210" s="14" t="s">
        <v>48</v>
      </c>
      <c r="S210" s="14" t="s">
        <v>42</v>
      </c>
      <c r="T210" s="14">
        <f t="shared" si="1"/>
        <v>3</v>
      </c>
      <c r="U210" s="14">
        <f t="shared" si="2"/>
        <v>1</v>
      </c>
      <c r="V210" s="14">
        <f t="shared" si="3"/>
        <v>0</v>
      </c>
      <c r="W210" s="16">
        <f t="shared" si="4"/>
        <v>1</v>
      </c>
      <c r="X210" s="14" t="str">
        <f t="shared" si="5"/>
        <v>Normal</v>
      </c>
      <c r="Y210" s="17">
        <f t="shared" si="6"/>
        <v>1.527525232</v>
      </c>
    </row>
    <row r="211">
      <c r="A211" s="7" t="s">
        <v>912</v>
      </c>
      <c r="B211" s="8" t="s">
        <v>913</v>
      </c>
      <c r="C211" s="9" t="s">
        <v>914</v>
      </c>
      <c r="D211" s="9" t="s">
        <v>374</v>
      </c>
      <c r="E211" s="10" t="s">
        <v>196</v>
      </c>
      <c r="F211" s="18" t="s">
        <v>44</v>
      </c>
      <c r="G211" s="12" t="s">
        <v>45</v>
      </c>
      <c r="H211" s="12" t="s">
        <v>45</v>
      </c>
      <c r="I211" s="19" t="s">
        <v>45</v>
      </c>
      <c r="J211" s="13" t="s">
        <v>45</v>
      </c>
      <c r="K211" s="14" t="s">
        <v>46</v>
      </c>
      <c r="L211" s="14" t="s">
        <v>61</v>
      </c>
      <c r="M211" s="14" t="s">
        <v>47</v>
      </c>
      <c r="N211" s="15" t="s">
        <v>49</v>
      </c>
      <c r="O211" s="14" t="s">
        <v>283</v>
      </c>
      <c r="P211" s="14" t="s">
        <v>48</v>
      </c>
      <c r="Q211" s="14" t="s">
        <v>283</v>
      </c>
      <c r="R211" s="14" t="s">
        <v>49</v>
      </c>
      <c r="S211" s="14" t="s">
        <v>283</v>
      </c>
      <c r="T211" s="14">
        <f t="shared" si="1"/>
        <v>4</v>
      </c>
      <c r="U211" s="14">
        <f t="shared" si="2"/>
        <v>0</v>
      </c>
      <c r="V211" s="14">
        <f t="shared" si="3"/>
        <v>0</v>
      </c>
      <c r="W211" s="16">
        <f t="shared" si="4"/>
        <v>1</v>
      </c>
      <c r="X211" s="14" t="str">
        <f t="shared" si="5"/>
        <v>Normal</v>
      </c>
      <c r="Y211" s="17">
        <f t="shared" si="6"/>
        <v>2.309401077</v>
      </c>
    </row>
    <row r="212">
      <c r="A212" s="7" t="s">
        <v>915</v>
      </c>
      <c r="B212" s="8" t="s">
        <v>916</v>
      </c>
      <c r="C212" s="9" t="s">
        <v>917</v>
      </c>
      <c r="D212" s="9" t="s">
        <v>848</v>
      </c>
      <c r="E212" s="10" t="s">
        <v>181</v>
      </c>
      <c r="F212" s="18" t="s">
        <v>44</v>
      </c>
      <c r="G212" s="12" t="s">
        <v>45</v>
      </c>
      <c r="H212" s="12" t="s">
        <v>45</v>
      </c>
      <c r="I212" s="19" t="s">
        <v>31</v>
      </c>
      <c r="J212" s="13" t="s">
        <v>45</v>
      </c>
      <c r="K212" s="14" t="s">
        <v>46</v>
      </c>
      <c r="L212" s="14" t="s">
        <v>33</v>
      </c>
      <c r="M212" s="14" t="s">
        <v>47</v>
      </c>
      <c r="N212" s="15" t="s">
        <v>48</v>
      </c>
      <c r="O212" s="14" t="s">
        <v>42</v>
      </c>
      <c r="P212" s="14" t="s">
        <v>48</v>
      </c>
      <c r="Q212" s="14" t="s">
        <v>42</v>
      </c>
      <c r="R212" s="14" t="s">
        <v>48</v>
      </c>
      <c r="S212" s="14" t="s">
        <v>83</v>
      </c>
      <c r="T212" s="14">
        <f t="shared" si="1"/>
        <v>3</v>
      </c>
      <c r="U212" s="14">
        <f t="shared" si="2"/>
        <v>1</v>
      </c>
      <c r="V212" s="14">
        <f t="shared" si="3"/>
        <v>0</v>
      </c>
      <c r="W212" s="16">
        <f t="shared" si="4"/>
        <v>1</v>
      </c>
      <c r="X212" s="14" t="str">
        <f t="shared" si="5"/>
        <v>Normal</v>
      </c>
      <c r="Y212" s="17">
        <f t="shared" si="6"/>
        <v>1.527525232</v>
      </c>
    </row>
    <row r="213">
      <c r="A213" s="7" t="s">
        <v>918</v>
      </c>
      <c r="B213" s="8" t="s">
        <v>919</v>
      </c>
      <c r="C213" s="9" t="s">
        <v>920</v>
      </c>
      <c r="D213" s="9" t="s">
        <v>848</v>
      </c>
      <c r="E213" s="10" t="s">
        <v>53</v>
      </c>
      <c r="F213" s="18" t="s">
        <v>44</v>
      </c>
      <c r="G213" s="12" t="s">
        <v>45</v>
      </c>
      <c r="H213" s="12" t="s">
        <v>45</v>
      </c>
      <c r="I213" s="12" t="s">
        <v>32</v>
      </c>
      <c r="J213" s="13" t="s">
        <v>45</v>
      </c>
      <c r="K213" s="14" t="s">
        <v>46</v>
      </c>
      <c r="L213" s="14" t="s">
        <v>34</v>
      </c>
      <c r="M213" s="14" t="s">
        <v>35</v>
      </c>
      <c r="N213" s="15" t="s">
        <v>48</v>
      </c>
      <c r="O213" s="14" t="s">
        <v>921</v>
      </c>
      <c r="P213" s="14" t="s">
        <v>48</v>
      </c>
      <c r="Q213" s="14" t="s">
        <v>42</v>
      </c>
      <c r="R213" s="14" t="s">
        <v>49</v>
      </c>
      <c r="S213" s="14" t="s">
        <v>62</v>
      </c>
      <c r="T213" s="14">
        <f t="shared" si="1"/>
        <v>3</v>
      </c>
      <c r="U213" s="14">
        <f t="shared" si="2"/>
        <v>0</v>
      </c>
      <c r="V213" s="14">
        <f t="shared" si="3"/>
        <v>1</v>
      </c>
      <c r="W213" s="16">
        <f t="shared" si="4"/>
        <v>1</v>
      </c>
      <c r="X213" s="14" t="str">
        <f t="shared" si="5"/>
        <v>Normal</v>
      </c>
      <c r="Y213" s="17">
        <f t="shared" si="6"/>
        <v>1.527525232</v>
      </c>
    </row>
    <row r="214">
      <c r="A214" s="7" t="s">
        <v>922</v>
      </c>
      <c r="B214" s="8" t="s">
        <v>923</v>
      </c>
      <c r="C214" s="9" t="s">
        <v>924</v>
      </c>
      <c r="D214" s="9" t="s">
        <v>72</v>
      </c>
      <c r="E214" s="10" t="s">
        <v>72</v>
      </c>
      <c r="F214" s="18" t="s">
        <v>44</v>
      </c>
      <c r="G214" s="12" t="s">
        <v>45</v>
      </c>
      <c r="H214" s="12" t="s">
        <v>31</v>
      </c>
      <c r="I214" s="19" t="s">
        <v>32</v>
      </c>
      <c r="J214" s="13" t="s">
        <v>45</v>
      </c>
      <c r="K214" s="14" t="s">
        <v>46</v>
      </c>
      <c r="L214" s="14" t="s">
        <v>55</v>
      </c>
      <c r="M214" s="14" t="s">
        <v>47</v>
      </c>
      <c r="N214" s="15" t="s">
        <v>48</v>
      </c>
      <c r="O214" s="14" t="s">
        <v>42</v>
      </c>
      <c r="P214" s="14" t="s">
        <v>48</v>
      </c>
      <c r="Q214" s="14" t="s">
        <v>42</v>
      </c>
      <c r="R214" s="14" t="s">
        <v>48</v>
      </c>
      <c r="S214" s="14" t="s">
        <v>42</v>
      </c>
      <c r="T214" s="14">
        <f t="shared" si="1"/>
        <v>2</v>
      </c>
      <c r="U214" s="14">
        <f t="shared" si="2"/>
        <v>1</v>
      </c>
      <c r="V214" s="14">
        <f t="shared" si="3"/>
        <v>1</v>
      </c>
      <c r="W214" s="16">
        <f t="shared" si="4"/>
        <v>1</v>
      </c>
      <c r="X214" s="14" t="b">
        <f t="shared" si="5"/>
        <v>0</v>
      </c>
      <c r="Y214" s="17">
        <f t="shared" si="6"/>
        <v>0.5773502692</v>
      </c>
    </row>
    <row r="215">
      <c r="A215" s="7" t="s">
        <v>925</v>
      </c>
      <c r="B215" s="8" t="s">
        <v>926</v>
      </c>
      <c r="C215" s="9" t="s">
        <v>927</v>
      </c>
      <c r="D215" s="9" t="s">
        <v>928</v>
      </c>
      <c r="E215" s="10" t="s">
        <v>196</v>
      </c>
      <c r="F215" s="11" t="s">
        <v>54</v>
      </c>
      <c r="G215" s="12" t="s">
        <v>32</v>
      </c>
      <c r="H215" s="12" t="s">
        <v>31</v>
      </c>
      <c r="I215" s="19" t="s">
        <v>32</v>
      </c>
      <c r="J215" s="13" t="s">
        <v>32</v>
      </c>
      <c r="K215" s="14" t="s">
        <v>46</v>
      </c>
      <c r="L215" s="14" t="s">
        <v>61</v>
      </c>
      <c r="M215" s="14" t="s">
        <v>35</v>
      </c>
      <c r="N215" s="15" t="s">
        <v>36</v>
      </c>
      <c r="O215" s="14" t="s">
        <v>37</v>
      </c>
      <c r="P215" s="14" t="s">
        <v>36</v>
      </c>
      <c r="Q215" s="14" t="s">
        <v>37</v>
      </c>
      <c r="R215" s="14" t="s">
        <v>36</v>
      </c>
      <c r="S215" s="14" t="s">
        <v>37</v>
      </c>
      <c r="T215" s="14">
        <f t="shared" si="1"/>
        <v>0</v>
      </c>
      <c r="U215" s="14">
        <f t="shared" si="2"/>
        <v>1</v>
      </c>
      <c r="V215" s="14">
        <f t="shared" si="3"/>
        <v>3</v>
      </c>
      <c r="W215" s="16">
        <f t="shared" si="4"/>
        <v>1</v>
      </c>
      <c r="X215" s="14" t="str">
        <f t="shared" si="5"/>
        <v>Hate Speech</v>
      </c>
      <c r="Y215" s="17">
        <f t="shared" si="6"/>
        <v>1.527525232</v>
      </c>
    </row>
    <row r="216">
      <c r="A216" s="7" t="s">
        <v>929</v>
      </c>
      <c r="B216" s="8" t="s">
        <v>930</v>
      </c>
      <c r="C216" s="9" t="s">
        <v>931</v>
      </c>
      <c r="D216" s="9" t="s">
        <v>848</v>
      </c>
      <c r="E216" s="10" t="s">
        <v>181</v>
      </c>
      <c r="F216" s="18" t="s">
        <v>44</v>
      </c>
      <c r="G216" s="12" t="s">
        <v>45</v>
      </c>
      <c r="H216" s="12" t="s">
        <v>45</v>
      </c>
      <c r="I216" s="19" t="s">
        <v>31</v>
      </c>
      <c r="J216" s="13" t="s">
        <v>45</v>
      </c>
      <c r="K216" s="14" t="s">
        <v>46</v>
      </c>
      <c r="L216" s="14" t="s">
        <v>33</v>
      </c>
      <c r="M216" s="14" t="s">
        <v>47</v>
      </c>
      <c r="N216" s="15" t="s">
        <v>49</v>
      </c>
      <c r="O216" s="14" t="s">
        <v>43</v>
      </c>
      <c r="P216" s="14" t="s">
        <v>48</v>
      </c>
      <c r="Q216" s="14" t="s">
        <v>42</v>
      </c>
      <c r="R216" s="14" t="s">
        <v>48</v>
      </c>
      <c r="S216" s="14" t="s">
        <v>43</v>
      </c>
      <c r="T216" s="14">
        <f t="shared" si="1"/>
        <v>3</v>
      </c>
      <c r="U216" s="14">
        <f t="shared" si="2"/>
        <v>1</v>
      </c>
      <c r="V216" s="14">
        <f t="shared" si="3"/>
        <v>0</v>
      </c>
      <c r="W216" s="16">
        <f t="shared" si="4"/>
        <v>1</v>
      </c>
      <c r="X216" s="14" t="str">
        <f t="shared" si="5"/>
        <v>Normal</v>
      </c>
      <c r="Y216" s="17">
        <f t="shared" si="6"/>
        <v>1.527525232</v>
      </c>
    </row>
    <row r="217">
      <c r="A217" s="7" t="s">
        <v>932</v>
      </c>
      <c r="B217" s="8" t="s">
        <v>933</v>
      </c>
      <c r="C217" s="9" t="s">
        <v>934</v>
      </c>
      <c r="D217" s="9" t="s">
        <v>935</v>
      </c>
      <c r="E217" s="10" t="s">
        <v>936</v>
      </c>
      <c r="F217" s="11" t="s">
        <v>155</v>
      </c>
      <c r="G217" s="12" t="s">
        <v>45</v>
      </c>
      <c r="H217" s="12" t="s">
        <v>31</v>
      </c>
      <c r="I217" s="12" t="s">
        <v>32</v>
      </c>
      <c r="J217" s="13" t="s">
        <v>32</v>
      </c>
      <c r="K217" s="14" t="s">
        <v>46</v>
      </c>
      <c r="L217" s="14" t="s">
        <v>34</v>
      </c>
      <c r="M217" s="14" t="s">
        <v>35</v>
      </c>
      <c r="N217" s="15" t="s">
        <v>49</v>
      </c>
      <c r="O217" s="14" t="s">
        <v>270</v>
      </c>
      <c r="P217" s="14" t="s">
        <v>48</v>
      </c>
      <c r="Q217" s="14" t="s">
        <v>270</v>
      </c>
      <c r="R217" s="14" t="s">
        <v>49</v>
      </c>
      <c r="S217" s="14" t="s">
        <v>116</v>
      </c>
      <c r="T217" s="14">
        <f t="shared" si="1"/>
        <v>1</v>
      </c>
      <c r="U217" s="14">
        <f t="shared" si="2"/>
        <v>1</v>
      </c>
      <c r="V217" s="14">
        <f t="shared" si="3"/>
        <v>2</v>
      </c>
      <c r="W217" s="16">
        <f t="shared" si="4"/>
        <v>1</v>
      </c>
      <c r="X217" s="14" t="b">
        <f t="shared" si="5"/>
        <v>0</v>
      </c>
      <c r="Y217" s="17">
        <f t="shared" si="6"/>
        <v>0.5773502692</v>
      </c>
    </row>
    <row r="218">
      <c r="A218" s="7" t="s">
        <v>937</v>
      </c>
      <c r="B218" s="8" t="s">
        <v>938</v>
      </c>
      <c r="C218" s="9" t="s">
        <v>939</v>
      </c>
      <c r="D218" s="9" t="s">
        <v>83</v>
      </c>
      <c r="E218" s="10" t="s">
        <v>83</v>
      </c>
      <c r="F218" s="18" t="s">
        <v>44</v>
      </c>
      <c r="G218" s="12" t="s">
        <v>45</v>
      </c>
      <c r="H218" s="12" t="s">
        <v>45</v>
      </c>
      <c r="I218" s="19" t="s">
        <v>31</v>
      </c>
      <c r="J218" s="13" t="s">
        <v>45</v>
      </c>
      <c r="K218" s="14" t="s">
        <v>46</v>
      </c>
      <c r="L218" s="14" t="s">
        <v>55</v>
      </c>
      <c r="M218" s="14" t="s">
        <v>47</v>
      </c>
      <c r="N218" s="15" t="s">
        <v>36</v>
      </c>
      <c r="O218" s="14" t="s">
        <v>83</v>
      </c>
      <c r="P218" s="14" t="s">
        <v>48</v>
      </c>
      <c r="Q218" s="14" t="s">
        <v>83</v>
      </c>
      <c r="R218" s="14" t="s">
        <v>48</v>
      </c>
      <c r="S218" s="14" t="s">
        <v>83</v>
      </c>
      <c r="T218" s="14">
        <f t="shared" si="1"/>
        <v>3</v>
      </c>
      <c r="U218" s="14">
        <f t="shared" si="2"/>
        <v>1</v>
      </c>
      <c r="V218" s="14">
        <f t="shared" si="3"/>
        <v>0</v>
      </c>
      <c r="W218" s="16">
        <f t="shared" si="4"/>
        <v>1</v>
      </c>
      <c r="X218" s="14" t="str">
        <f t="shared" si="5"/>
        <v>Normal</v>
      </c>
      <c r="Y218" s="17">
        <f t="shared" si="6"/>
        <v>1.527525232</v>
      </c>
    </row>
    <row r="219">
      <c r="A219" s="7" t="s">
        <v>940</v>
      </c>
      <c r="B219" s="8" t="s">
        <v>941</v>
      </c>
      <c r="C219" s="9" t="s">
        <v>942</v>
      </c>
      <c r="D219" s="9" t="s">
        <v>943</v>
      </c>
      <c r="E219" s="10" t="s">
        <v>269</v>
      </c>
      <c r="F219" s="11" t="s">
        <v>54</v>
      </c>
      <c r="G219" s="12" t="s">
        <v>31</v>
      </c>
      <c r="H219" s="12" t="s">
        <v>31</v>
      </c>
      <c r="I219" s="19" t="s">
        <v>31</v>
      </c>
      <c r="J219" s="13" t="s">
        <v>31</v>
      </c>
      <c r="K219" s="14" t="s">
        <v>46</v>
      </c>
      <c r="L219" s="14" t="s">
        <v>61</v>
      </c>
      <c r="M219" s="14" t="s">
        <v>35</v>
      </c>
      <c r="N219" s="15" t="s">
        <v>36</v>
      </c>
      <c r="O219" s="14" t="s">
        <v>37</v>
      </c>
      <c r="P219" s="14" t="s">
        <v>36</v>
      </c>
      <c r="Q219" s="14" t="s">
        <v>37</v>
      </c>
      <c r="R219" s="14" t="s">
        <v>36</v>
      </c>
      <c r="S219" s="14" t="s">
        <v>37</v>
      </c>
      <c r="T219" s="14">
        <f t="shared" si="1"/>
        <v>0</v>
      </c>
      <c r="U219" s="14">
        <f t="shared" si="2"/>
        <v>4</v>
      </c>
      <c r="V219" s="14">
        <f t="shared" si="3"/>
        <v>0</v>
      </c>
      <c r="W219" s="16">
        <f t="shared" si="4"/>
        <v>1</v>
      </c>
      <c r="X219" s="14" t="str">
        <f t="shared" si="5"/>
        <v>Offensive</v>
      </c>
      <c r="Y219" s="17">
        <f t="shared" si="6"/>
        <v>2.309401077</v>
      </c>
    </row>
    <row r="220">
      <c r="A220" s="7" t="s">
        <v>944</v>
      </c>
      <c r="B220" s="8" t="s">
        <v>945</v>
      </c>
      <c r="C220" s="9" t="s">
        <v>946</v>
      </c>
      <c r="D220" s="9" t="s">
        <v>374</v>
      </c>
      <c r="E220" s="10" t="s">
        <v>181</v>
      </c>
      <c r="F220" s="18" t="s">
        <v>44</v>
      </c>
      <c r="G220" s="12" t="s">
        <v>45</v>
      </c>
      <c r="H220" s="12" t="s">
        <v>45</v>
      </c>
      <c r="I220" s="19" t="s">
        <v>45</v>
      </c>
      <c r="J220" s="13" t="s">
        <v>45</v>
      </c>
      <c r="K220" s="14" t="s">
        <v>46</v>
      </c>
      <c r="L220" s="14" t="s">
        <v>33</v>
      </c>
      <c r="M220" s="14" t="s">
        <v>35</v>
      </c>
      <c r="N220" s="15" t="s">
        <v>48</v>
      </c>
      <c r="O220" s="14" t="s">
        <v>283</v>
      </c>
      <c r="P220" s="14" t="s">
        <v>48</v>
      </c>
      <c r="Q220" s="14" t="s">
        <v>283</v>
      </c>
      <c r="R220" s="14" t="s">
        <v>48</v>
      </c>
      <c r="S220" s="14" t="s">
        <v>283</v>
      </c>
      <c r="T220" s="14">
        <f t="shared" si="1"/>
        <v>4</v>
      </c>
      <c r="U220" s="14">
        <f t="shared" si="2"/>
        <v>0</v>
      </c>
      <c r="V220" s="14">
        <f t="shared" si="3"/>
        <v>0</v>
      </c>
      <c r="W220" s="16">
        <f t="shared" si="4"/>
        <v>1</v>
      </c>
      <c r="X220" s="14" t="str">
        <f t="shared" si="5"/>
        <v>Normal</v>
      </c>
      <c r="Y220" s="17">
        <f t="shared" si="6"/>
        <v>2.309401077</v>
      </c>
    </row>
    <row r="221">
      <c r="A221" s="7" t="s">
        <v>947</v>
      </c>
      <c r="B221" s="8" t="s">
        <v>948</v>
      </c>
      <c r="C221" s="9" t="s">
        <v>949</v>
      </c>
      <c r="D221" s="9" t="s">
        <v>848</v>
      </c>
      <c r="E221" s="10" t="s">
        <v>72</v>
      </c>
      <c r="F221" s="11" t="s">
        <v>73</v>
      </c>
      <c r="G221" s="12" t="s">
        <v>45</v>
      </c>
      <c r="H221" s="12" t="s">
        <v>45</v>
      </c>
      <c r="I221" s="12" t="s">
        <v>32</v>
      </c>
      <c r="J221" s="13" t="s">
        <v>32</v>
      </c>
      <c r="K221" s="14" t="s">
        <v>46</v>
      </c>
      <c r="L221" s="14" t="s">
        <v>34</v>
      </c>
      <c r="M221" s="14" t="s">
        <v>35</v>
      </c>
      <c r="N221" s="15" t="s">
        <v>49</v>
      </c>
      <c r="O221" s="14" t="s">
        <v>72</v>
      </c>
      <c r="P221" s="14" t="s">
        <v>49</v>
      </c>
      <c r="Q221" s="14" t="s">
        <v>72</v>
      </c>
      <c r="R221" s="14" t="s">
        <v>36</v>
      </c>
      <c r="S221" s="14" t="s">
        <v>72</v>
      </c>
      <c r="T221" s="14">
        <f t="shared" si="1"/>
        <v>2</v>
      </c>
      <c r="U221" s="14">
        <f t="shared" si="2"/>
        <v>0</v>
      </c>
      <c r="V221" s="14">
        <f t="shared" si="3"/>
        <v>2</v>
      </c>
      <c r="W221" s="16">
        <f t="shared" si="4"/>
        <v>1</v>
      </c>
      <c r="X221" s="14" t="b">
        <f t="shared" si="5"/>
        <v>0</v>
      </c>
      <c r="Y221" s="17">
        <f t="shared" si="6"/>
        <v>1.154700538</v>
      </c>
    </row>
    <row r="222">
      <c r="A222" s="7" t="s">
        <v>950</v>
      </c>
      <c r="B222" s="8" t="s">
        <v>951</v>
      </c>
      <c r="C222" s="9" t="s">
        <v>952</v>
      </c>
      <c r="D222" s="9" t="s">
        <v>848</v>
      </c>
      <c r="E222" s="10" t="s">
        <v>953</v>
      </c>
      <c r="F222" s="18" t="s">
        <v>44</v>
      </c>
      <c r="G222" s="12" t="s">
        <v>45</v>
      </c>
      <c r="H222" s="12" t="s">
        <v>45</v>
      </c>
      <c r="I222" s="19" t="s">
        <v>45</v>
      </c>
      <c r="J222" s="13" t="s">
        <v>45</v>
      </c>
      <c r="K222" s="14" t="s">
        <v>46</v>
      </c>
      <c r="L222" s="14" t="s">
        <v>55</v>
      </c>
      <c r="M222" s="14" t="s">
        <v>47</v>
      </c>
      <c r="N222" s="15" t="s">
        <v>48</v>
      </c>
      <c r="O222" s="14" t="s">
        <v>42</v>
      </c>
      <c r="P222" s="14" t="s">
        <v>48</v>
      </c>
      <c r="Q222" s="14" t="s">
        <v>42</v>
      </c>
      <c r="R222" s="14" t="s">
        <v>48</v>
      </c>
      <c r="S222" s="14" t="s">
        <v>42</v>
      </c>
      <c r="T222" s="14">
        <f t="shared" si="1"/>
        <v>4</v>
      </c>
      <c r="U222" s="14">
        <f t="shared" si="2"/>
        <v>0</v>
      </c>
      <c r="V222" s="14">
        <f t="shared" si="3"/>
        <v>0</v>
      </c>
      <c r="W222" s="16">
        <f t="shared" si="4"/>
        <v>1</v>
      </c>
      <c r="X222" s="14" t="str">
        <f t="shared" si="5"/>
        <v>Normal</v>
      </c>
      <c r="Y222" s="17">
        <f t="shared" si="6"/>
        <v>2.309401077</v>
      </c>
    </row>
    <row r="223">
      <c r="A223" s="7" t="s">
        <v>954</v>
      </c>
      <c r="B223" s="8" t="s">
        <v>955</v>
      </c>
      <c r="C223" s="9" t="s">
        <v>956</v>
      </c>
      <c r="D223" s="9" t="s">
        <v>957</v>
      </c>
      <c r="E223" s="10" t="s">
        <v>958</v>
      </c>
      <c r="F223" s="11" t="s">
        <v>442</v>
      </c>
      <c r="G223" s="12" t="s">
        <v>31</v>
      </c>
      <c r="H223" s="12" t="s">
        <v>31</v>
      </c>
      <c r="I223" s="19" t="s">
        <v>32</v>
      </c>
      <c r="J223" s="13" t="s">
        <v>32</v>
      </c>
      <c r="K223" s="14" t="s">
        <v>46</v>
      </c>
      <c r="L223" s="14" t="s">
        <v>61</v>
      </c>
      <c r="M223" s="14" t="s">
        <v>35</v>
      </c>
      <c r="N223" s="15" t="s">
        <v>36</v>
      </c>
      <c r="O223" s="14" t="s">
        <v>116</v>
      </c>
      <c r="P223" s="14" t="s">
        <v>36</v>
      </c>
      <c r="Q223" s="14" t="s">
        <v>115</v>
      </c>
      <c r="R223" s="14" t="s">
        <v>48</v>
      </c>
      <c r="S223" s="14" t="s">
        <v>42</v>
      </c>
      <c r="T223" s="14">
        <f t="shared" si="1"/>
        <v>0</v>
      </c>
      <c r="U223" s="14">
        <f t="shared" si="2"/>
        <v>2</v>
      </c>
      <c r="V223" s="14">
        <f t="shared" si="3"/>
        <v>2</v>
      </c>
      <c r="W223" s="16">
        <f t="shared" si="4"/>
        <v>1</v>
      </c>
      <c r="X223" s="14" t="b">
        <f t="shared" si="5"/>
        <v>0</v>
      </c>
      <c r="Y223" s="17">
        <f t="shared" si="6"/>
        <v>1.154700538</v>
      </c>
    </row>
    <row r="224">
      <c r="A224" s="7" t="s">
        <v>959</v>
      </c>
      <c r="B224" s="8" t="s">
        <v>960</v>
      </c>
      <c r="C224" s="9" t="s">
        <v>961</v>
      </c>
      <c r="D224" s="9" t="s">
        <v>72</v>
      </c>
      <c r="E224" s="10" t="s">
        <v>962</v>
      </c>
      <c r="F224" s="11" t="s">
        <v>963</v>
      </c>
      <c r="G224" s="12"/>
      <c r="H224" s="12" t="s">
        <v>31</v>
      </c>
      <c r="I224" s="19" t="s">
        <v>32</v>
      </c>
      <c r="J224" s="13" t="s">
        <v>32</v>
      </c>
      <c r="K224" s="14" t="s">
        <v>46</v>
      </c>
      <c r="L224" s="14" t="s">
        <v>33</v>
      </c>
      <c r="M224" s="14" t="s">
        <v>35</v>
      </c>
      <c r="N224" s="15" t="s">
        <v>36</v>
      </c>
      <c r="O224" s="14" t="s">
        <v>72</v>
      </c>
      <c r="P224" s="14" t="s">
        <v>36</v>
      </c>
      <c r="Q224" s="14" t="s">
        <v>243</v>
      </c>
      <c r="R224" s="14" t="s">
        <v>36</v>
      </c>
      <c r="S224" s="14" t="s">
        <v>72</v>
      </c>
      <c r="T224" s="14">
        <f t="shared" si="1"/>
        <v>0</v>
      </c>
      <c r="U224" s="14">
        <f t="shared" si="2"/>
        <v>1</v>
      </c>
      <c r="V224" s="14">
        <f t="shared" si="3"/>
        <v>2</v>
      </c>
      <c r="W224" s="16">
        <f t="shared" si="4"/>
        <v>0.75</v>
      </c>
      <c r="X224" s="14" t="b">
        <f t="shared" si="5"/>
        <v>0</v>
      </c>
      <c r="Y224" s="17">
        <f t="shared" si="6"/>
        <v>1</v>
      </c>
    </row>
    <row r="225">
      <c r="A225" s="7" t="s">
        <v>964</v>
      </c>
      <c r="B225" s="8" t="s">
        <v>965</v>
      </c>
      <c r="C225" s="9" t="s">
        <v>966</v>
      </c>
      <c r="D225" s="9" t="s">
        <v>66</v>
      </c>
      <c r="E225" s="10" t="s">
        <v>66</v>
      </c>
      <c r="F225" s="11" t="s">
        <v>155</v>
      </c>
      <c r="G225" s="12" t="s">
        <v>32</v>
      </c>
      <c r="H225" s="12" t="s">
        <v>31</v>
      </c>
      <c r="I225" s="12" t="s">
        <v>32</v>
      </c>
      <c r="J225" s="13" t="s">
        <v>32</v>
      </c>
      <c r="K225" s="14" t="s">
        <v>46</v>
      </c>
      <c r="L225" s="14" t="s">
        <v>34</v>
      </c>
      <c r="M225" s="14" t="s">
        <v>35</v>
      </c>
      <c r="N225" s="15" t="s">
        <v>36</v>
      </c>
      <c r="O225" s="14" t="s">
        <v>115</v>
      </c>
      <c r="P225" s="14" t="s">
        <v>49</v>
      </c>
      <c r="Q225" s="14" t="s">
        <v>115</v>
      </c>
      <c r="R225" s="14" t="s">
        <v>36</v>
      </c>
      <c r="S225" s="14" t="s">
        <v>115</v>
      </c>
      <c r="T225" s="14">
        <f t="shared" si="1"/>
        <v>0</v>
      </c>
      <c r="U225" s="14">
        <f t="shared" si="2"/>
        <v>1</v>
      </c>
      <c r="V225" s="14">
        <f t="shared" si="3"/>
        <v>3</v>
      </c>
      <c r="W225" s="16">
        <f t="shared" si="4"/>
        <v>1</v>
      </c>
      <c r="X225" s="14" t="str">
        <f t="shared" si="5"/>
        <v>Hate Speech</v>
      </c>
      <c r="Y225" s="17">
        <f t="shared" si="6"/>
        <v>1.527525232</v>
      </c>
    </row>
    <row r="226">
      <c r="A226" s="7" t="s">
        <v>967</v>
      </c>
      <c r="B226" s="8" t="s">
        <v>968</v>
      </c>
      <c r="C226" s="9" t="s">
        <v>969</v>
      </c>
      <c r="D226" s="9" t="s">
        <v>970</v>
      </c>
      <c r="E226" s="10" t="s">
        <v>971</v>
      </c>
      <c r="F226" s="18" t="s">
        <v>44</v>
      </c>
      <c r="G226" s="12" t="s">
        <v>31</v>
      </c>
      <c r="H226" s="12" t="s">
        <v>31</v>
      </c>
      <c r="I226" s="19" t="s">
        <v>32</v>
      </c>
      <c r="J226" s="13" t="s">
        <v>45</v>
      </c>
      <c r="K226" s="14" t="s">
        <v>46</v>
      </c>
      <c r="L226" s="14" t="s">
        <v>55</v>
      </c>
      <c r="M226" s="14" t="s">
        <v>35</v>
      </c>
      <c r="N226" s="15" t="s">
        <v>49</v>
      </c>
      <c r="O226" s="14" t="s">
        <v>801</v>
      </c>
      <c r="P226" s="14" t="s">
        <v>36</v>
      </c>
      <c r="Q226" s="14" t="s">
        <v>801</v>
      </c>
      <c r="R226" s="14" t="s">
        <v>36</v>
      </c>
      <c r="S226" s="14" t="s">
        <v>105</v>
      </c>
      <c r="T226" s="14">
        <f t="shared" si="1"/>
        <v>1</v>
      </c>
      <c r="U226" s="14">
        <f t="shared" si="2"/>
        <v>2</v>
      </c>
      <c r="V226" s="14">
        <f t="shared" si="3"/>
        <v>1</v>
      </c>
      <c r="W226" s="16">
        <f t="shared" si="4"/>
        <v>1</v>
      </c>
      <c r="X226" s="14" t="b">
        <f t="shared" si="5"/>
        <v>0</v>
      </c>
      <c r="Y226" s="17">
        <f t="shared" si="6"/>
        <v>0.5773502692</v>
      </c>
    </row>
    <row r="227">
      <c r="A227" s="7" t="s">
        <v>972</v>
      </c>
      <c r="B227" s="8" t="s">
        <v>973</v>
      </c>
      <c r="C227" s="9" t="s">
        <v>974</v>
      </c>
      <c r="D227" s="9" t="s">
        <v>42</v>
      </c>
      <c r="E227" s="10" t="s">
        <v>196</v>
      </c>
      <c r="F227" s="18" t="s">
        <v>44</v>
      </c>
      <c r="G227" s="12" t="s">
        <v>45</v>
      </c>
      <c r="H227" s="12" t="s">
        <v>31</v>
      </c>
      <c r="I227" s="19" t="s">
        <v>32</v>
      </c>
      <c r="J227" s="13" t="s">
        <v>45</v>
      </c>
      <c r="K227" s="14" t="s">
        <v>46</v>
      </c>
      <c r="L227" s="14" t="s">
        <v>61</v>
      </c>
      <c r="M227" s="14" t="s">
        <v>35</v>
      </c>
      <c r="N227" s="15" t="s">
        <v>48</v>
      </c>
      <c r="O227" s="14" t="s">
        <v>975</v>
      </c>
      <c r="P227" s="14" t="s">
        <v>48</v>
      </c>
      <c r="Q227" s="14" t="s">
        <v>42</v>
      </c>
      <c r="R227" s="14" t="s">
        <v>49</v>
      </c>
      <c r="S227" s="14" t="s">
        <v>115</v>
      </c>
      <c r="T227" s="14">
        <f t="shared" si="1"/>
        <v>2</v>
      </c>
      <c r="U227" s="14">
        <f t="shared" si="2"/>
        <v>1</v>
      </c>
      <c r="V227" s="14">
        <f t="shared" si="3"/>
        <v>1</v>
      </c>
      <c r="W227" s="16">
        <f t="shared" si="4"/>
        <v>1</v>
      </c>
      <c r="X227" s="14" t="b">
        <f t="shared" si="5"/>
        <v>0</v>
      </c>
      <c r="Y227" s="17">
        <f t="shared" si="6"/>
        <v>0.5773502692</v>
      </c>
    </row>
    <row r="228">
      <c r="A228" s="7" t="s">
        <v>976</v>
      </c>
      <c r="B228" s="8" t="s">
        <v>977</v>
      </c>
      <c r="C228" s="9" t="s">
        <v>978</v>
      </c>
      <c r="D228" s="9" t="s">
        <v>42</v>
      </c>
      <c r="E228" s="10" t="s">
        <v>979</v>
      </c>
      <c r="F228" s="18" t="s">
        <v>44</v>
      </c>
      <c r="G228" s="12" t="s">
        <v>31</v>
      </c>
      <c r="H228" s="12" t="s">
        <v>31</v>
      </c>
      <c r="I228" s="19" t="s">
        <v>32</v>
      </c>
      <c r="J228" s="13" t="s">
        <v>45</v>
      </c>
      <c r="K228" s="14" t="s">
        <v>46</v>
      </c>
      <c r="L228" s="14" t="s">
        <v>33</v>
      </c>
      <c r="M228" s="14" t="s">
        <v>47</v>
      </c>
      <c r="N228" s="15" t="s">
        <v>48</v>
      </c>
      <c r="O228" s="14" t="s">
        <v>42</v>
      </c>
      <c r="P228" s="14" t="s">
        <v>48</v>
      </c>
      <c r="Q228" s="14" t="s">
        <v>105</v>
      </c>
      <c r="R228" s="14" t="s">
        <v>49</v>
      </c>
      <c r="S228" s="14" t="s">
        <v>283</v>
      </c>
      <c r="T228" s="14">
        <f t="shared" si="1"/>
        <v>1</v>
      </c>
      <c r="U228" s="14">
        <f t="shared" si="2"/>
        <v>2</v>
      </c>
      <c r="V228" s="14">
        <f t="shared" si="3"/>
        <v>1</v>
      </c>
      <c r="W228" s="16">
        <f t="shared" si="4"/>
        <v>1</v>
      </c>
      <c r="X228" s="14" t="b">
        <f t="shared" si="5"/>
        <v>0</v>
      </c>
      <c r="Y228" s="17">
        <f t="shared" si="6"/>
        <v>0.5773502692</v>
      </c>
    </row>
    <row r="229">
      <c r="A229" s="7" t="s">
        <v>980</v>
      </c>
      <c r="B229" s="8" t="s">
        <v>981</v>
      </c>
      <c r="C229" s="9" t="s">
        <v>982</v>
      </c>
      <c r="D229" s="9" t="s">
        <v>225</v>
      </c>
      <c r="E229" s="10" t="s">
        <v>42</v>
      </c>
      <c r="F229" s="11" t="s">
        <v>43</v>
      </c>
      <c r="G229" s="12" t="s">
        <v>31</v>
      </c>
      <c r="H229" s="12" t="s">
        <v>32</v>
      </c>
      <c r="I229" s="12" t="s">
        <v>31</v>
      </c>
      <c r="J229" s="13" t="s">
        <v>31</v>
      </c>
      <c r="K229" s="14" t="s">
        <v>46</v>
      </c>
      <c r="L229" s="14" t="s">
        <v>34</v>
      </c>
      <c r="M229" s="14" t="s">
        <v>35</v>
      </c>
      <c r="N229" s="15" t="s">
        <v>49</v>
      </c>
      <c r="O229" s="14" t="s">
        <v>43</v>
      </c>
      <c r="P229" s="14" t="s">
        <v>49</v>
      </c>
      <c r="Q229" s="14" t="s">
        <v>43</v>
      </c>
      <c r="R229" s="14" t="s">
        <v>36</v>
      </c>
      <c r="S229" s="14" t="s">
        <v>43</v>
      </c>
      <c r="T229" s="14">
        <f t="shared" si="1"/>
        <v>0</v>
      </c>
      <c r="U229" s="14">
        <f t="shared" si="2"/>
        <v>3</v>
      </c>
      <c r="V229" s="14">
        <f t="shared" si="3"/>
        <v>1</v>
      </c>
      <c r="W229" s="16">
        <f t="shared" si="4"/>
        <v>1</v>
      </c>
      <c r="X229" s="14" t="str">
        <f t="shared" si="5"/>
        <v>Offensive</v>
      </c>
      <c r="Y229" s="17">
        <f t="shared" si="6"/>
        <v>1.527525232</v>
      </c>
    </row>
    <row r="230">
      <c r="A230" s="7" t="s">
        <v>983</v>
      </c>
      <c r="B230" s="8" t="s">
        <v>984</v>
      </c>
      <c r="C230" s="9" t="s">
        <v>985</v>
      </c>
      <c r="D230" s="9" t="s">
        <v>72</v>
      </c>
      <c r="E230" s="10" t="s">
        <v>72</v>
      </c>
      <c r="F230" s="11" t="s">
        <v>73</v>
      </c>
      <c r="G230" s="12" t="s">
        <v>31</v>
      </c>
      <c r="H230" s="12" t="s">
        <v>31</v>
      </c>
      <c r="I230" s="19" t="s">
        <v>32</v>
      </c>
      <c r="J230" s="13" t="s">
        <v>32</v>
      </c>
      <c r="K230" s="14" t="s">
        <v>46</v>
      </c>
      <c r="L230" s="14" t="s">
        <v>55</v>
      </c>
      <c r="M230" s="14" t="s">
        <v>35</v>
      </c>
      <c r="N230" s="15" t="s">
        <v>48</v>
      </c>
      <c r="O230" s="14" t="s">
        <v>72</v>
      </c>
      <c r="P230" s="14" t="s">
        <v>48</v>
      </c>
      <c r="Q230" s="14" t="s">
        <v>42</v>
      </c>
      <c r="R230" s="14" t="s">
        <v>49</v>
      </c>
      <c r="S230" s="14" t="s">
        <v>72</v>
      </c>
      <c r="T230" s="14">
        <f t="shared" si="1"/>
        <v>0</v>
      </c>
      <c r="U230" s="14">
        <f t="shared" si="2"/>
        <v>2</v>
      </c>
      <c r="V230" s="14">
        <f t="shared" si="3"/>
        <v>2</v>
      </c>
      <c r="W230" s="16">
        <f t="shared" si="4"/>
        <v>1</v>
      </c>
      <c r="X230" s="14" t="b">
        <f t="shared" si="5"/>
        <v>0</v>
      </c>
      <c r="Y230" s="17">
        <f t="shared" si="6"/>
        <v>1.154700538</v>
      </c>
    </row>
    <row r="231">
      <c r="A231" s="7" t="s">
        <v>986</v>
      </c>
      <c r="B231" s="8" t="s">
        <v>987</v>
      </c>
      <c r="C231" s="9" t="s">
        <v>988</v>
      </c>
      <c r="D231" s="9" t="s">
        <v>878</v>
      </c>
      <c r="E231" s="10" t="s">
        <v>110</v>
      </c>
      <c r="F231" s="11" t="s">
        <v>54</v>
      </c>
      <c r="G231" s="12" t="s">
        <v>31</v>
      </c>
      <c r="H231" s="12" t="s">
        <v>45</v>
      </c>
      <c r="I231" s="19" t="s">
        <v>32</v>
      </c>
      <c r="J231" s="13" t="s">
        <v>32</v>
      </c>
      <c r="K231" s="14" t="s">
        <v>46</v>
      </c>
      <c r="L231" s="14" t="s">
        <v>61</v>
      </c>
      <c r="M231" s="14" t="s">
        <v>35</v>
      </c>
      <c r="N231" s="15" t="s">
        <v>36</v>
      </c>
      <c r="O231" s="14" t="s">
        <v>37</v>
      </c>
      <c r="P231" s="14" t="s">
        <v>36</v>
      </c>
      <c r="Q231" s="14" t="s">
        <v>37</v>
      </c>
      <c r="R231" s="14" t="s">
        <v>49</v>
      </c>
      <c r="S231" s="14" t="s">
        <v>37</v>
      </c>
      <c r="T231" s="14">
        <f t="shared" si="1"/>
        <v>1</v>
      </c>
      <c r="U231" s="14">
        <f t="shared" si="2"/>
        <v>1</v>
      </c>
      <c r="V231" s="14">
        <f t="shared" si="3"/>
        <v>2</v>
      </c>
      <c r="W231" s="16">
        <f t="shared" si="4"/>
        <v>1</v>
      </c>
      <c r="X231" s="14" t="b">
        <f t="shared" si="5"/>
        <v>0</v>
      </c>
      <c r="Y231" s="17">
        <f t="shared" si="6"/>
        <v>0.5773502692</v>
      </c>
    </row>
    <row r="232">
      <c r="A232" s="7" t="s">
        <v>989</v>
      </c>
      <c r="B232" s="8" t="s">
        <v>990</v>
      </c>
      <c r="C232" s="9" t="s">
        <v>991</v>
      </c>
      <c r="D232" s="9" t="s">
        <v>72</v>
      </c>
      <c r="E232" s="10" t="s">
        <v>73</v>
      </c>
      <c r="F232" s="11" t="s">
        <v>73</v>
      </c>
      <c r="G232" s="12" t="s">
        <v>31</v>
      </c>
      <c r="H232" s="12" t="s">
        <v>31</v>
      </c>
      <c r="I232" s="19" t="s">
        <v>32</v>
      </c>
      <c r="J232" s="13" t="s">
        <v>32</v>
      </c>
      <c r="K232" s="14" t="s">
        <v>46</v>
      </c>
      <c r="L232" s="14" t="s">
        <v>33</v>
      </c>
      <c r="M232" s="14" t="s">
        <v>35</v>
      </c>
      <c r="N232" s="15" t="s">
        <v>49</v>
      </c>
      <c r="O232" s="14" t="s">
        <v>72</v>
      </c>
      <c r="P232" s="14" t="s">
        <v>49</v>
      </c>
      <c r="Q232" s="14" t="s">
        <v>42</v>
      </c>
      <c r="R232" s="14" t="s">
        <v>49</v>
      </c>
      <c r="S232" s="14" t="s">
        <v>72</v>
      </c>
      <c r="T232" s="14">
        <f t="shared" si="1"/>
        <v>0</v>
      </c>
      <c r="U232" s="14">
        <f t="shared" si="2"/>
        <v>2</v>
      </c>
      <c r="V232" s="14">
        <f t="shared" si="3"/>
        <v>2</v>
      </c>
      <c r="W232" s="16">
        <f t="shared" si="4"/>
        <v>1</v>
      </c>
      <c r="X232" s="14" t="b">
        <f t="shared" si="5"/>
        <v>0</v>
      </c>
      <c r="Y232" s="17">
        <f t="shared" si="6"/>
        <v>1.154700538</v>
      </c>
    </row>
    <row r="233">
      <c r="A233" s="7" t="s">
        <v>992</v>
      </c>
      <c r="B233" s="8" t="s">
        <v>993</v>
      </c>
      <c r="C233" s="9" t="s">
        <v>994</v>
      </c>
      <c r="D233" s="9" t="s">
        <v>66</v>
      </c>
      <c r="E233" s="10" t="s">
        <v>66</v>
      </c>
      <c r="F233" s="11" t="s">
        <v>155</v>
      </c>
      <c r="G233" s="12" t="s">
        <v>31</v>
      </c>
      <c r="H233" s="12" t="s">
        <v>32</v>
      </c>
      <c r="I233" s="12" t="s">
        <v>32</v>
      </c>
      <c r="J233" s="13" t="s">
        <v>32</v>
      </c>
      <c r="K233" s="14" t="s">
        <v>46</v>
      </c>
      <c r="L233" s="14" t="s">
        <v>34</v>
      </c>
      <c r="M233" s="14" t="s">
        <v>35</v>
      </c>
      <c r="N233" s="15" t="s">
        <v>36</v>
      </c>
      <c r="O233" s="14" t="s">
        <v>115</v>
      </c>
      <c r="P233" s="14" t="s">
        <v>49</v>
      </c>
      <c r="Q233" s="14" t="s">
        <v>115</v>
      </c>
      <c r="R233" s="14" t="s">
        <v>36</v>
      </c>
      <c r="S233" s="14" t="s">
        <v>115</v>
      </c>
      <c r="T233" s="14">
        <f t="shared" si="1"/>
        <v>0</v>
      </c>
      <c r="U233" s="14">
        <f t="shared" si="2"/>
        <v>1</v>
      </c>
      <c r="V233" s="14">
        <f t="shared" si="3"/>
        <v>3</v>
      </c>
      <c r="W233" s="16">
        <f t="shared" si="4"/>
        <v>1</v>
      </c>
      <c r="X233" s="14" t="str">
        <f t="shared" si="5"/>
        <v>Hate Speech</v>
      </c>
      <c r="Y233" s="17">
        <f t="shared" si="6"/>
        <v>1.527525232</v>
      </c>
    </row>
    <row r="234">
      <c r="A234" s="7" t="s">
        <v>995</v>
      </c>
      <c r="B234" s="8" t="s">
        <v>996</v>
      </c>
      <c r="C234" s="9" t="s">
        <v>997</v>
      </c>
      <c r="D234" s="9" t="s">
        <v>42</v>
      </c>
      <c r="E234" s="10" t="s">
        <v>225</v>
      </c>
      <c r="F234" s="18" t="s">
        <v>44</v>
      </c>
      <c r="G234" s="12" t="s">
        <v>45</v>
      </c>
      <c r="H234" s="12" t="s">
        <v>45</v>
      </c>
      <c r="I234" s="19" t="s">
        <v>31</v>
      </c>
      <c r="J234" s="13" t="s">
        <v>45</v>
      </c>
      <c r="K234" s="14" t="s">
        <v>46</v>
      </c>
      <c r="L234" s="14" t="s">
        <v>55</v>
      </c>
      <c r="M234" s="14" t="s">
        <v>47</v>
      </c>
      <c r="N234" s="15" t="s">
        <v>49</v>
      </c>
      <c r="O234" s="14" t="s">
        <v>43</v>
      </c>
      <c r="P234" s="14" t="s">
        <v>49</v>
      </c>
      <c r="Q234" s="14" t="s">
        <v>43</v>
      </c>
      <c r="R234" s="14" t="s">
        <v>49</v>
      </c>
      <c r="S234" s="14" t="s">
        <v>43</v>
      </c>
      <c r="T234" s="14">
        <f t="shared" si="1"/>
        <v>3</v>
      </c>
      <c r="U234" s="14">
        <f t="shared" si="2"/>
        <v>1</v>
      </c>
      <c r="V234" s="14">
        <f t="shared" si="3"/>
        <v>0</v>
      </c>
      <c r="W234" s="16">
        <f t="shared" si="4"/>
        <v>1</v>
      </c>
      <c r="X234" s="14" t="str">
        <f t="shared" si="5"/>
        <v>Normal</v>
      </c>
      <c r="Y234" s="17">
        <f t="shared" si="6"/>
        <v>1.527525232</v>
      </c>
    </row>
    <row r="235">
      <c r="A235" s="7" t="s">
        <v>998</v>
      </c>
      <c r="B235" s="8" t="s">
        <v>999</v>
      </c>
      <c r="C235" s="9" t="s">
        <v>1000</v>
      </c>
      <c r="D235" s="9" t="s">
        <v>543</v>
      </c>
      <c r="E235" s="10" t="s">
        <v>196</v>
      </c>
      <c r="F235" s="11" t="s">
        <v>110</v>
      </c>
      <c r="G235" s="12" t="s">
        <v>31</v>
      </c>
      <c r="H235" s="12" t="s">
        <v>31</v>
      </c>
      <c r="I235" s="19" t="s">
        <v>31</v>
      </c>
      <c r="J235" s="13" t="s">
        <v>31</v>
      </c>
      <c r="K235" s="14" t="s">
        <v>46</v>
      </c>
      <c r="L235" s="14" t="s">
        <v>61</v>
      </c>
      <c r="M235" s="14" t="s">
        <v>35</v>
      </c>
      <c r="N235" s="15" t="s">
        <v>36</v>
      </c>
      <c r="O235" s="14" t="s">
        <v>177</v>
      </c>
      <c r="P235" s="14" t="s">
        <v>49</v>
      </c>
      <c r="Q235" s="14" t="s">
        <v>863</v>
      </c>
      <c r="R235" s="14" t="s">
        <v>49</v>
      </c>
      <c r="S235" s="14" t="s">
        <v>42</v>
      </c>
      <c r="T235" s="14">
        <f t="shared" si="1"/>
        <v>0</v>
      </c>
      <c r="U235" s="14">
        <f t="shared" si="2"/>
        <v>4</v>
      </c>
      <c r="V235" s="14">
        <f t="shared" si="3"/>
        <v>0</v>
      </c>
      <c r="W235" s="16">
        <f t="shared" si="4"/>
        <v>1</v>
      </c>
      <c r="X235" s="14" t="str">
        <f t="shared" si="5"/>
        <v>Offensive</v>
      </c>
      <c r="Y235" s="17">
        <f t="shared" si="6"/>
        <v>2.309401077</v>
      </c>
    </row>
    <row r="236">
      <c r="A236" s="7" t="s">
        <v>1001</v>
      </c>
      <c r="B236" s="8" t="s">
        <v>1002</v>
      </c>
      <c r="C236" s="9" t="s">
        <v>1003</v>
      </c>
      <c r="D236" s="9" t="s">
        <v>42</v>
      </c>
      <c r="E236" s="10" t="s">
        <v>181</v>
      </c>
      <c r="F236" s="18" t="s">
        <v>44</v>
      </c>
      <c r="G236" s="12" t="s">
        <v>45</v>
      </c>
      <c r="H236" s="12" t="s">
        <v>45</v>
      </c>
      <c r="I236" s="19" t="s">
        <v>45</v>
      </c>
      <c r="J236" s="13" t="s">
        <v>45</v>
      </c>
      <c r="K236" s="14" t="s">
        <v>46</v>
      </c>
      <c r="L236" s="14" t="s">
        <v>33</v>
      </c>
      <c r="M236" s="14" t="s">
        <v>47</v>
      </c>
      <c r="N236" s="15" t="s">
        <v>48</v>
      </c>
      <c r="O236" s="14" t="s">
        <v>42</v>
      </c>
      <c r="P236" s="14" t="s">
        <v>48</v>
      </c>
      <c r="Q236" s="14" t="s">
        <v>42</v>
      </c>
      <c r="R236" s="14" t="s">
        <v>48</v>
      </c>
      <c r="S236" s="14" t="s">
        <v>42</v>
      </c>
      <c r="T236" s="14">
        <f t="shared" si="1"/>
        <v>4</v>
      </c>
      <c r="U236" s="14">
        <f t="shared" si="2"/>
        <v>0</v>
      </c>
      <c r="V236" s="14">
        <f t="shared" si="3"/>
        <v>0</v>
      </c>
      <c r="W236" s="16">
        <f t="shared" si="4"/>
        <v>1</v>
      </c>
      <c r="X236" s="14" t="str">
        <f t="shared" si="5"/>
        <v>Normal</v>
      </c>
      <c r="Y236" s="17">
        <f t="shared" si="6"/>
        <v>2.309401077</v>
      </c>
    </row>
    <row r="237">
      <c r="A237" s="7" t="s">
        <v>1004</v>
      </c>
      <c r="B237" s="8" t="s">
        <v>1005</v>
      </c>
      <c r="C237" s="9" t="s">
        <v>1006</v>
      </c>
      <c r="D237" s="9" t="s">
        <v>66</v>
      </c>
      <c r="E237" s="10" t="s">
        <v>1007</v>
      </c>
      <c r="F237" s="11" t="s">
        <v>155</v>
      </c>
      <c r="G237" s="12" t="s">
        <v>31</v>
      </c>
      <c r="H237" s="12" t="s">
        <v>31</v>
      </c>
      <c r="I237" s="12" t="s">
        <v>32</v>
      </c>
      <c r="J237" s="13" t="s">
        <v>32</v>
      </c>
      <c r="K237" s="14" t="s">
        <v>46</v>
      </c>
      <c r="L237" s="14" t="s">
        <v>34</v>
      </c>
      <c r="M237" s="14" t="s">
        <v>35</v>
      </c>
      <c r="N237" s="15" t="s">
        <v>48</v>
      </c>
      <c r="O237" s="14" t="s">
        <v>42</v>
      </c>
      <c r="P237" s="14" t="s">
        <v>36</v>
      </c>
      <c r="Q237" s="14" t="s">
        <v>115</v>
      </c>
      <c r="R237" s="14" t="s">
        <v>48</v>
      </c>
      <c r="S237" s="14" t="s">
        <v>42</v>
      </c>
      <c r="T237" s="14">
        <f t="shared" si="1"/>
        <v>0</v>
      </c>
      <c r="U237" s="14">
        <f t="shared" si="2"/>
        <v>2</v>
      </c>
      <c r="V237" s="14">
        <f t="shared" si="3"/>
        <v>2</v>
      </c>
      <c r="W237" s="16">
        <f t="shared" si="4"/>
        <v>1</v>
      </c>
      <c r="X237" s="14" t="b">
        <f t="shared" si="5"/>
        <v>0</v>
      </c>
      <c r="Y237" s="17">
        <f t="shared" si="6"/>
        <v>1.154700538</v>
      </c>
    </row>
    <row r="238">
      <c r="A238" s="7" t="s">
        <v>1008</v>
      </c>
      <c r="B238" s="8" t="s">
        <v>1009</v>
      </c>
      <c r="C238" s="9" t="s">
        <v>1010</v>
      </c>
      <c r="D238" s="9" t="s">
        <v>42</v>
      </c>
      <c r="E238" s="10" t="s">
        <v>292</v>
      </c>
      <c r="F238" s="18" t="s">
        <v>44</v>
      </c>
      <c r="G238" s="12" t="s">
        <v>45</v>
      </c>
      <c r="H238" s="12" t="s">
        <v>45</v>
      </c>
      <c r="I238" s="19" t="s">
        <v>31</v>
      </c>
      <c r="J238" s="13" t="s">
        <v>45</v>
      </c>
      <c r="K238" s="14" t="s">
        <v>46</v>
      </c>
      <c r="L238" s="14" t="s">
        <v>55</v>
      </c>
      <c r="M238" s="14" t="s">
        <v>47</v>
      </c>
      <c r="N238" s="15" t="s">
        <v>48</v>
      </c>
      <c r="O238" s="14" t="s">
        <v>42</v>
      </c>
      <c r="P238" s="14" t="s">
        <v>48</v>
      </c>
      <c r="Q238" s="14" t="s">
        <v>42</v>
      </c>
      <c r="R238" s="14" t="s">
        <v>48</v>
      </c>
      <c r="S238" s="14" t="s">
        <v>62</v>
      </c>
      <c r="T238" s="14">
        <f t="shared" si="1"/>
        <v>3</v>
      </c>
      <c r="U238" s="14">
        <f t="shared" si="2"/>
        <v>1</v>
      </c>
      <c r="V238" s="14">
        <f t="shared" si="3"/>
        <v>0</v>
      </c>
      <c r="W238" s="16">
        <f t="shared" si="4"/>
        <v>1</v>
      </c>
      <c r="X238" s="14" t="str">
        <f t="shared" si="5"/>
        <v>Normal</v>
      </c>
      <c r="Y238" s="17">
        <f t="shared" si="6"/>
        <v>1.527525232</v>
      </c>
    </row>
    <row r="239">
      <c r="A239" s="7" t="s">
        <v>1011</v>
      </c>
      <c r="B239" s="8" t="s">
        <v>1012</v>
      </c>
      <c r="C239" s="9" t="s">
        <v>1013</v>
      </c>
      <c r="D239" s="9" t="s">
        <v>459</v>
      </c>
      <c r="E239" s="10" t="s">
        <v>217</v>
      </c>
      <c r="F239" s="11" t="s">
        <v>54</v>
      </c>
      <c r="G239" s="12" t="s">
        <v>31</v>
      </c>
      <c r="H239" s="12" t="s">
        <v>45</v>
      </c>
      <c r="I239" s="19" t="s">
        <v>31</v>
      </c>
      <c r="J239" s="13" t="s">
        <v>32</v>
      </c>
      <c r="K239" s="14" t="s">
        <v>46</v>
      </c>
      <c r="L239" s="14" t="s">
        <v>61</v>
      </c>
      <c r="M239" s="14" t="s">
        <v>35</v>
      </c>
      <c r="N239" s="15" t="s">
        <v>49</v>
      </c>
      <c r="O239" s="14" t="s">
        <v>37</v>
      </c>
      <c r="P239" s="14" t="s">
        <v>36</v>
      </c>
      <c r="Q239" s="14" t="s">
        <v>37</v>
      </c>
      <c r="R239" s="14" t="s">
        <v>36</v>
      </c>
      <c r="S239" s="14" t="s">
        <v>37</v>
      </c>
      <c r="T239" s="14">
        <f t="shared" si="1"/>
        <v>1</v>
      </c>
      <c r="U239" s="14">
        <f t="shared" si="2"/>
        <v>2</v>
      </c>
      <c r="V239" s="14">
        <f t="shared" si="3"/>
        <v>1</v>
      </c>
      <c r="W239" s="16">
        <f t="shared" si="4"/>
        <v>1</v>
      </c>
      <c r="X239" s="14" t="b">
        <f t="shared" si="5"/>
        <v>0</v>
      </c>
      <c r="Y239" s="17">
        <f t="shared" si="6"/>
        <v>0.5773502692</v>
      </c>
    </row>
    <row r="240">
      <c r="A240" s="7" t="s">
        <v>1014</v>
      </c>
      <c r="B240" s="8" t="s">
        <v>1015</v>
      </c>
      <c r="C240" s="9" t="s">
        <v>1016</v>
      </c>
      <c r="D240" s="9" t="s">
        <v>42</v>
      </c>
      <c r="E240" s="10" t="s">
        <v>43</v>
      </c>
      <c r="F240" s="18" t="s">
        <v>44</v>
      </c>
      <c r="G240" s="12" t="s">
        <v>45</v>
      </c>
      <c r="H240" s="12" t="s">
        <v>45</v>
      </c>
      <c r="I240" s="19" t="s">
        <v>31</v>
      </c>
      <c r="J240" s="13" t="s">
        <v>45</v>
      </c>
      <c r="K240" s="14" t="s">
        <v>46</v>
      </c>
      <c r="L240" s="14" t="s">
        <v>33</v>
      </c>
      <c r="M240" s="14" t="s">
        <v>47</v>
      </c>
      <c r="N240" s="15" t="s">
        <v>48</v>
      </c>
      <c r="O240" s="14" t="s">
        <v>42</v>
      </c>
      <c r="P240" s="14" t="s">
        <v>49</v>
      </c>
      <c r="Q240" s="14" t="s">
        <v>43</v>
      </c>
      <c r="R240" s="14" t="s">
        <v>49</v>
      </c>
      <c r="S240" s="14" t="s">
        <v>42</v>
      </c>
      <c r="T240" s="14">
        <f t="shared" si="1"/>
        <v>3</v>
      </c>
      <c r="U240" s="14">
        <f t="shared" si="2"/>
        <v>1</v>
      </c>
      <c r="V240" s="14">
        <f t="shared" si="3"/>
        <v>0</v>
      </c>
      <c r="W240" s="16">
        <f t="shared" si="4"/>
        <v>1</v>
      </c>
      <c r="X240" s="14" t="str">
        <f t="shared" si="5"/>
        <v>Normal</v>
      </c>
      <c r="Y240" s="17">
        <f t="shared" si="6"/>
        <v>1.527525232</v>
      </c>
    </row>
    <row r="241">
      <c r="A241" s="7" t="s">
        <v>1017</v>
      </c>
      <c r="B241" s="8" t="s">
        <v>1018</v>
      </c>
      <c r="C241" s="9" t="s">
        <v>1019</v>
      </c>
      <c r="D241" s="9" t="s">
        <v>159</v>
      </c>
      <c r="E241" s="10" t="s">
        <v>1020</v>
      </c>
      <c r="F241" s="11" t="s">
        <v>161</v>
      </c>
      <c r="G241" s="12" t="s">
        <v>31</v>
      </c>
      <c r="H241" s="12" t="s">
        <v>31</v>
      </c>
      <c r="I241" s="12" t="s">
        <v>31</v>
      </c>
      <c r="J241" s="13" t="s">
        <v>31</v>
      </c>
      <c r="K241" s="14" t="s">
        <v>46</v>
      </c>
      <c r="L241" s="14" t="s">
        <v>34</v>
      </c>
      <c r="M241" s="14" t="s">
        <v>35</v>
      </c>
      <c r="N241" s="15" t="s">
        <v>49</v>
      </c>
      <c r="O241" s="14" t="s">
        <v>164</v>
      </c>
      <c r="P241" s="14" t="s">
        <v>49</v>
      </c>
      <c r="Q241" s="14" t="s">
        <v>83</v>
      </c>
      <c r="R241" s="14" t="s">
        <v>49</v>
      </c>
      <c r="S241" s="14" t="s">
        <v>122</v>
      </c>
      <c r="T241" s="14">
        <f t="shared" si="1"/>
        <v>0</v>
      </c>
      <c r="U241" s="14">
        <f t="shared" si="2"/>
        <v>4</v>
      </c>
      <c r="V241" s="14">
        <f t="shared" si="3"/>
        <v>0</v>
      </c>
      <c r="W241" s="16">
        <f t="shared" si="4"/>
        <v>1</v>
      </c>
      <c r="X241" s="14" t="str">
        <f t="shared" si="5"/>
        <v>Offensive</v>
      </c>
      <c r="Y241" s="17">
        <f t="shared" si="6"/>
        <v>2.309401077</v>
      </c>
    </row>
    <row r="242">
      <c r="A242" s="7" t="s">
        <v>1021</v>
      </c>
      <c r="B242" s="8" t="s">
        <v>1022</v>
      </c>
      <c r="C242" s="9" t="s">
        <v>1023</v>
      </c>
      <c r="D242" s="9" t="s">
        <v>42</v>
      </c>
      <c r="E242" s="10" t="s">
        <v>109</v>
      </c>
      <c r="F242" s="18" t="s">
        <v>44</v>
      </c>
      <c r="G242" s="12" t="s">
        <v>45</v>
      </c>
      <c r="H242" s="12" t="s">
        <v>31</v>
      </c>
      <c r="I242" s="19" t="s">
        <v>31</v>
      </c>
      <c r="J242" s="13" t="s">
        <v>31</v>
      </c>
      <c r="K242" s="14" t="s">
        <v>46</v>
      </c>
      <c r="L242" s="14" t="s">
        <v>55</v>
      </c>
      <c r="M242" s="14" t="s">
        <v>47</v>
      </c>
      <c r="N242" s="15" t="s">
        <v>48</v>
      </c>
      <c r="O242" s="14" t="s">
        <v>42</v>
      </c>
      <c r="P242" s="14" t="s">
        <v>48</v>
      </c>
      <c r="Q242" s="14" t="s">
        <v>42</v>
      </c>
      <c r="R242" s="14" t="s">
        <v>48</v>
      </c>
      <c r="S242" s="14" t="s">
        <v>42</v>
      </c>
      <c r="T242" s="14">
        <f t="shared" si="1"/>
        <v>1</v>
      </c>
      <c r="U242" s="14">
        <f t="shared" si="2"/>
        <v>3</v>
      </c>
      <c r="V242" s="14">
        <f t="shared" si="3"/>
        <v>0</v>
      </c>
      <c r="W242" s="16">
        <f t="shared" si="4"/>
        <v>1</v>
      </c>
      <c r="X242" s="14" t="str">
        <f t="shared" si="5"/>
        <v>Offensive</v>
      </c>
      <c r="Y242" s="17">
        <f t="shared" si="6"/>
        <v>1.527525232</v>
      </c>
    </row>
    <row r="243">
      <c r="A243" s="7" t="s">
        <v>1024</v>
      </c>
      <c r="B243" s="8" t="s">
        <v>1025</v>
      </c>
      <c r="C243" s="9" t="s">
        <v>1026</v>
      </c>
      <c r="D243" s="9" t="s">
        <v>72</v>
      </c>
      <c r="E243" s="10" t="s">
        <v>451</v>
      </c>
      <c r="F243" s="11" t="s">
        <v>73</v>
      </c>
      <c r="G243" s="12" t="s">
        <v>45</v>
      </c>
      <c r="H243" s="12" t="s">
        <v>45</v>
      </c>
      <c r="I243" s="19" t="s">
        <v>32</v>
      </c>
      <c r="J243" s="13" t="s">
        <v>32</v>
      </c>
      <c r="K243" s="14" t="s">
        <v>46</v>
      </c>
      <c r="L243" s="14" t="s">
        <v>61</v>
      </c>
      <c r="M243" s="14" t="s">
        <v>35</v>
      </c>
      <c r="N243" s="15" t="s">
        <v>49</v>
      </c>
      <c r="O243" s="14" t="s">
        <v>72</v>
      </c>
      <c r="P243" s="14" t="s">
        <v>49</v>
      </c>
      <c r="Q243" s="14" t="s">
        <v>72</v>
      </c>
      <c r="R243" s="14" t="s">
        <v>36</v>
      </c>
      <c r="S243" s="14" t="s">
        <v>72</v>
      </c>
      <c r="T243" s="14">
        <f t="shared" si="1"/>
        <v>2</v>
      </c>
      <c r="U243" s="14">
        <f t="shared" si="2"/>
        <v>0</v>
      </c>
      <c r="V243" s="14">
        <f t="shared" si="3"/>
        <v>2</v>
      </c>
      <c r="W243" s="16">
        <f t="shared" si="4"/>
        <v>1</v>
      </c>
      <c r="X243" s="14" t="b">
        <f t="shared" si="5"/>
        <v>0</v>
      </c>
      <c r="Y243" s="17">
        <f t="shared" si="6"/>
        <v>1.154700538</v>
      </c>
    </row>
    <row r="244">
      <c r="A244" s="7" t="s">
        <v>1027</v>
      </c>
      <c r="B244" s="8" t="s">
        <v>1028</v>
      </c>
      <c r="C244" s="9" t="s">
        <v>1029</v>
      </c>
      <c r="D244" s="9" t="s">
        <v>42</v>
      </c>
      <c r="E244" s="10" t="s">
        <v>181</v>
      </c>
      <c r="F244" s="18" t="s">
        <v>44</v>
      </c>
      <c r="G244" s="12" t="s">
        <v>45</v>
      </c>
      <c r="H244" s="12" t="s">
        <v>45</v>
      </c>
      <c r="I244" s="19" t="s">
        <v>31</v>
      </c>
      <c r="J244" s="13" t="s">
        <v>45</v>
      </c>
      <c r="K244" s="14" t="s">
        <v>46</v>
      </c>
      <c r="L244" s="14" t="s">
        <v>33</v>
      </c>
      <c r="M244" s="14" t="s">
        <v>47</v>
      </c>
      <c r="N244" s="15" t="s">
        <v>48</v>
      </c>
      <c r="O244" s="14" t="s">
        <v>42</v>
      </c>
      <c r="P244" s="14" t="s">
        <v>48</v>
      </c>
      <c r="Q244" s="14" t="s">
        <v>42</v>
      </c>
      <c r="R244" s="14" t="s">
        <v>48</v>
      </c>
      <c r="S244" s="14" t="s">
        <v>42</v>
      </c>
      <c r="T244" s="14">
        <f t="shared" si="1"/>
        <v>3</v>
      </c>
      <c r="U244" s="14">
        <f t="shared" si="2"/>
        <v>1</v>
      </c>
      <c r="V244" s="14">
        <f t="shared" si="3"/>
        <v>0</v>
      </c>
      <c r="W244" s="16">
        <f t="shared" si="4"/>
        <v>1</v>
      </c>
      <c r="X244" s="14" t="str">
        <f t="shared" si="5"/>
        <v>Normal</v>
      </c>
      <c r="Y244" s="17">
        <f t="shared" si="6"/>
        <v>1.527525232</v>
      </c>
    </row>
    <row r="245">
      <c r="A245" s="7" t="s">
        <v>1030</v>
      </c>
      <c r="B245" s="8" t="s">
        <v>1031</v>
      </c>
      <c r="C245" s="9" t="s">
        <v>1032</v>
      </c>
      <c r="D245" s="9" t="s">
        <v>42</v>
      </c>
      <c r="E245" s="24"/>
      <c r="F245" s="18" t="s">
        <v>44</v>
      </c>
      <c r="G245" s="12" t="s">
        <v>45</v>
      </c>
      <c r="H245" s="12" t="s">
        <v>45</v>
      </c>
      <c r="I245" s="12" t="s">
        <v>45</v>
      </c>
      <c r="J245" s="13" t="s">
        <v>45</v>
      </c>
      <c r="K245" s="14" t="s">
        <v>46</v>
      </c>
      <c r="L245" s="14" t="s">
        <v>34</v>
      </c>
      <c r="M245" s="14" t="s">
        <v>47</v>
      </c>
      <c r="N245" s="15" t="s">
        <v>48</v>
      </c>
      <c r="O245" s="14" t="s">
        <v>42</v>
      </c>
      <c r="P245" s="14" t="s">
        <v>48</v>
      </c>
      <c r="Q245" s="14" t="s">
        <v>105</v>
      </c>
      <c r="R245" s="14" t="s">
        <v>48</v>
      </c>
      <c r="S245" s="14" t="s">
        <v>42</v>
      </c>
      <c r="T245" s="14">
        <f t="shared" si="1"/>
        <v>4</v>
      </c>
      <c r="U245" s="14">
        <f t="shared" si="2"/>
        <v>0</v>
      </c>
      <c r="V245" s="14">
        <f t="shared" si="3"/>
        <v>0</v>
      </c>
      <c r="W245" s="16">
        <f t="shared" si="4"/>
        <v>1</v>
      </c>
      <c r="X245" s="14" t="str">
        <f t="shared" si="5"/>
        <v>Normal</v>
      </c>
      <c r="Y245" s="17">
        <f t="shared" si="6"/>
        <v>2.309401077</v>
      </c>
    </row>
    <row r="246">
      <c r="A246" s="7" t="s">
        <v>1033</v>
      </c>
      <c r="B246" s="8" t="s">
        <v>1034</v>
      </c>
      <c r="C246" s="9" t="s">
        <v>1035</v>
      </c>
      <c r="D246" s="9" t="s">
        <v>1036</v>
      </c>
      <c r="E246" s="10" t="s">
        <v>1037</v>
      </c>
      <c r="F246" s="11" t="s">
        <v>245</v>
      </c>
      <c r="G246" s="12" t="s">
        <v>31</v>
      </c>
      <c r="H246" s="12" t="s">
        <v>31</v>
      </c>
      <c r="I246" s="19" t="s">
        <v>32</v>
      </c>
      <c r="J246" s="13" t="s">
        <v>32</v>
      </c>
      <c r="K246" s="14" t="s">
        <v>46</v>
      </c>
      <c r="L246" s="14" t="s">
        <v>55</v>
      </c>
      <c r="M246" s="14" t="s">
        <v>35</v>
      </c>
      <c r="N246" s="15" t="s">
        <v>49</v>
      </c>
      <c r="O246" s="14" t="s">
        <v>201</v>
      </c>
      <c r="P246" s="14" t="s">
        <v>36</v>
      </c>
      <c r="Q246" s="14" t="s">
        <v>243</v>
      </c>
      <c r="R246" s="14" t="s">
        <v>36</v>
      </c>
      <c r="S246" s="14" t="s">
        <v>201</v>
      </c>
      <c r="T246" s="14">
        <f t="shared" si="1"/>
        <v>0</v>
      </c>
      <c r="U246" s="14">
        <f t="shared" si="2"/>
        <v>2</v>
      </c>
      <c r="V246" s="14">
        <f t="shared" si="3"/>
        <v>2</v>
      </c>
      <c r="W246" s="16">
        <f t="shared" si="4"/>
        <v>1</v>
      </c>
      <c r="X246" s="14" t="b">
        <f t="shared" si="5"/>
        <v>0</v>
      </c>
      <c r="Y246" s="17">
        <f t="shared" si="6"/>
        <v>1.154700538</v>
      </c>
    </row>
    <row r="247">
      <c r="A247" s="7" t="s">
        <v>1038</v>
      </c>
      <c r="B247" s="8" t="s">
        <v>1039</v>
      </c>
      <c r="C247" s="9" t="s">
        <v>1040</v>
      </c>
      <c r="D247" s="9" t="s">
        <v>42</v>
      </c>
      <c r="E247" s="10" t="s">
        <v>1041</v>
      </c>
      <c r="F247" s="18" t="s">
        <v>44</v>
      </c>
      <c r="G247" s="12" t="s">
        <v>45</v>
      </c>
      <c r="H247" s="12" t="s">
        <v>45</v>
      </c>
      <c r="I247" s="19" t="s">
        <v>31</v>
      </c>
      <c r="J247" s="13" t="s">
        <v>45</v>
      </c>
      <c r="K247" s="14" t="s">
        <v>46</v>
      </c>
      <c r="L247" s="14" t="s">
        <v>61</v>
      </c>
      <c r="M247" s="14" t="s">
        <v>47</v>
      </c>
      <c r="N247" s="15" t="s">
        <v>48</v>
      </c>
      <c r="O247" s="14" t="s">
        <v>37</v>
      </c>
      <c r="P247" s="14" t="s">
        <v>48</v>
      </c>
      <c r="Q247" s="14" t="s">
        <v>105</v>
      </c>
      <c r="R247" s="14" t="s">
        <v>49</v>
      </c>
      <c r="S247" s="14" t="s">
        <v>42</v>
      </c>
      <c r="T247" s="14">
        <f t="shared" si="1"/>
        <v>3</v>
      </c>
      <c r="U247" s="14">
        <f t="shared" si="2"/>
        <v>1</v>
      </c>
      <c r="V247" s="14">
        <f t="shared" si="3"/>
        <v>0</v>
      </c>
      <c r="W247" s="16">
        <f t="shared" si="4"/>
        <v>1</v>
      </c>
      <c r="X247" s="14" t="str">
        <f t="shared" si="5"/>
        <v>Normal</v>
      </c>
      <c r="Y247" s="17">
        <f t="shared" si="6"/>
        <v>1.527525232</v>
      </c>
    </row>
    <row r="248">
      <c r="A248" s="7" t="s">
        <v>1042</v>
      </c>
      <c r="B248" s="8" t="s">
        <v>1043</v>
      </c>
      <c r="C248" s="9" t="s">
        <v>1044</v>
      </c>
      <c r="D248" s="9" t="s">
        <v>459</v>
      </c>
      <c r="E248" s="10" t="s">
        <v>54</v>
      </c>
      <c r="F248" s="11" t="s">
        <v>54</v>
      </c>
      <c r="G248" s="12" t="s">
        <v>31</v>
      </c>
      <c r="H248" s="12" t="s">
        <v>31</v>
      </c>
      <c r="I248" s="19" t="s">
        <v>32</v>
      </c>
      <c r="J248" s="13" t="s">
        <v>32</v>
      </c>
      <c r="K248" s="14" t="s">
        <v>46</v>
      </c>
      <c r="L248" s="14" t="s">
        <v>33</v>
      </c>
      <c r="M248" s="14" t="s">
        <v>47</v>
      </c>
      <c r="N248" s="15" t="s">
        <v>36</v>
      </c>
      <c r="O248" s="14" t="s">
        <v>37</v>
      </c>
      <c r="P248" s="14" t="s">
        <v>48</v>
      </c>
      <c r="Q248" s="14" t="s">
        <v>37</v>
      </c>
      <c r="R248" s="14" t="s">
        <v>36</v>
      </c>
      <c r="S248" s="14" t="s">
        <v>37</v>
      </c>
      <c r="T248" s="14">
        <f t="shared" si="1"/>
        <v>0</v>
      </c>
      <c r="U248" s="14">
        <f t="shared" si="2"/>
        <v>2</v>
      </c>
      <c r="V248" s="14">
        <f t="shared" si="3"/>
        <v>2</v>
      </c>
      <c r="W248" s="16">
        <f t="shared" si="4"/>
        <v>1</v>
      </c>
      <c r="X248" s="14" t="b">
        <f t="shared" si="5"/>
        <v>0</v>
      </c>
      <c r="Y248" s="17">
        <f t="shared" si="6"/>
        <v>1.154700538</v>
      </c>
    </row>
    <row r="249">
      <c r="A249" s="7" t="s">
        <v>1045</v>
      </c>
      <c r="B249" s="8" t="s">
        <v>1046</v>
      </c>
      <c r="C249" s="9" t="s">
        <v>1047</v>
      </c>
      <c r="D249" s="9" t="s">
        <v>42</v>
      </c>
      <c r="E249" s="10" t="s">
        <v>53</v>
      </c>
      <c r="F249" s="11" t="s">
        <v>54</v>
      </c>
      <c r="G249" s="12" t="s">
        <v>45</v>
      </c>
      <c r="H249" s="12" t="s">
        <v>45</v>
      </c>
      <c r="I249" s="12" t="s">
        <v>31</v>
      </c>
      <c r="J249" s="13" t="s">
        <v>31</v>
      </c>
      <c r="K249" s="14" t="s">
        <v>46</v>
      </c>
      <c r="L249" s="14" t="s">
        <v>34</v>
      </c>
      <c r="M249" s="14" t="s">
        <v>47</v>
      </c>
      <c r="N249" s="15" t="s">
        <v>49</v>
      </c>
      <c r="O249" s="14" t="s">
        <v>37</v>
      </c>
      <c r="P249" s="14" t="s">
        <v>49</v>
      </c>
      <c r="Q249" s="14" t="s">
        <v>42</v>
      </c>
      <c r="R249" s="14" t="s">
        <v>49</v>
      </c>
      <c r="S249" s="14" t="s">
        <v>37</v>
      </c>
      <c r="T249" s="14">
        <f t="shared" si="1"/>
        <v>2</v>
      </c>
      <c r="U249" s="14">
        <f t="shared" si="2"/>
        <v>2</v>
      </c>
      <c r="V249" s="14">
        <f t="shared" si="3"/>
        <v>0</v>
      </c>
      <c r="W249" s="16">
        <f t="shared" si="4"/>
        <v>1</v>
      </c>
      <c r="X249" s="14" t="b">
        <f t="shared" si="5"/>
        <v>0</v>
      </c>
      <c r="Y249" s="17">
        <f t="shared" si="6"/>
        <v>1.154700538</v>
      </c>
    </row>
    <row r="250">
      <c r="A250" s="7" t="s">
        <v>1048</v>
      </c>
      <c r="B250" s="8" t="s">
        <v>1049</v>
      </c>
      <c r="C250" s="9" t="s">
        <v>1050</v>
      </c>
      <c r="D250" s="9" t="s">
        <v>1051</v>
      </c>
      <c r="E250" s="10" t="s">
        <v>1052</v>
      </c>
      <c r="F250" s="11" t="s">
        <v>43</v>
      </c>
      <c r="G250" s="12" t="s">
        <v>31</v>
      </c>
      <c r="H250" s="12" t="s">
        <v>31</v>
      </c>
      <c r="I250" s="19" t="s">
        <v>31</v>
      </c>
      <c r="J250" s="13" t="s">
        <v>31</v>
      </c>
      <c r="K250" s="14" t="s">
        <v>46</v>
      </c>
      <c r="L250" s="14" t="s">
        <v>55</v>
      </c>
      <c r="M250" s="14" t="s">
        <v>35</v>
      </c>
      <c r="N250" s="15" t="s">
        <v>49</v>
      </c>
      <c r="O250" s="14" t="s">
        <v>83</v>
      </c>
      <c r="P250" s="14" t="s">
        <v>49</v>
      </c>
      <c r="Q250" s="14" t="s">
        <v>83</v>
      </c>
      <c r="R250" s="14" t="s">
        <v>49</v>
      </c>
      <c r="S250" s="14" t="s">
        <v>83</v>
      </c>
      <c r="T250" s="14">
        <f t="shared" si="1"/>
        <v>0</v>
      </c>
      <c r="U250" s="14">
        <f t="shared" si="2"/>
        <v>4</v>
      </c>
      <c r="V250" s="14">
        <f t="shared" si="3"/>
        <v>0</v>
      </c>
      <c r="W250" s="16">
        <f t="shared" si="4"/>
        <v>1</v>
      </c>
      <c r="X250" s="14" t="str">
        <f t="shared" si="5"/>
        <v>Offensive</v>
      </c>
      <c r="Y250" s="17">
        <f t="shared" si="6"/>
        <v>2.309401077</v>
      </c>
    </row>
    <row r="251">
      <c r="A251" s="7" t="s">
        <v>1053</v>
      </c>
      <c r="B251" s="8" t="s">
        <v>1054</v>
      </c>
      <c r="C251" s="9" t="s">
        <v>1055</v>
      </c>
      <c r="D251" s="9" t="s">
        <v>42</v>
      </c>
      <c r="E251" s="10" t="s">
        <v>269</v>
      </c>
      <c r="F251" s="18" t="s">
        <v>44</v>
      </c>
      <c r="G251" s="12" t="s">
        <v>45</v>
      </c>
      <c r="H251" s="12" t="s">
        <v>45</v>
      </c>
      <c r="I251" s="19" t="s">
        <v>45</v>
      </c>
      <c r="J251" s="13" t="s">
        <v>45</v>
      </c>
      <c r="K251" s="14" t="s">
        <v>46</v>
      </c>
      <c r="L251" s="14" t="s">
        <v>61</v>
      </c>
      <c r="M251" s="14" t="s">
        <v>35</v>
      </c>
      <c r="N251" s="15" t="s">
        <v>49</v>
      </c>
      <c r="O251" s="14" t="s">
        <v>201</v>
      </c>
      <c r="P251" s="14" t="s">
        <v>48</v>
      </c>
      <c r="Q251" s="14" t="s">
        <v>72</v>
      </c>
      <c r="R251" s="14" t="s">
        <v>49</v>
      </c>
      <c r="S251" s="14" t="s">
        <v>201</v>
      </c>
      <c r="T251" s="14">
        <f t="shared" si="1"/>
        <v>4</v>
      </c>
      <c r="U251" s="14">
        <f t="shared" si="2"/>
        <v>0</v>
      </c>
      <c r="V251" s="14">
        <f t="shared" si="3"/>
        <v>0</v>
      </c>
      <c r="W251" s="16">
        <f t="shared" si="4"/>
        <v>1</v>
      </c>
      <c r="X251" s="14" t="str">
        <f t="shared" si="5"/>
        <v>Normal</v>
      </c>
      <c r="Y251" s="17">
        <f t="shared" si="6"/>
        <v>2.309401077</v>
      </c>
    </row>
    <row r="252">
      <c r="A252" s="7" t="s">
        <v>1056</v>
      </c>
      <c r="B252" s="8" t="s">
        <v>1057</v>
      </c>
      <c r="C252" s="9" t="s">
        <v>1058</v>
      </c>
      <c r="D252" s="9" t="s">
        <v>1059</v>
      </c>
      <c r="E252" s="10" t="s">
        <v>181</v>
      </c>
      <c r="F252" s="11" t="s">
        <v>212</v>
      </c>
      <c r="G252" s="12" t="s">
        <v>31</v>
      </c>
      <c r="H252" s="12" t="s">
        <v>31</v>
      </c>
      <c r="I252" s="19" t="s">
        <v>32</v>
      </c>
      <c r="J252" s="13" t="s">
        <v>32</v>
      </c>
      <c r="K252" s="14" t="s">
        <v>46</v>
      </c>
      <c r="L252" s="14" t="s">
        <v>33</v>
      </c>
      <c r="M252" s="14" t="s">
        <v>35</v>
      </c>
      <c r="N252" s="15" t="s">
        <v>36</v>
      </c>
      <c r="O252" s="14" t="s">
        <v>1060</v>
      </c>
      <c r="P252" s="14" t="s">
        <v>36</v>
      </c>
      <c r="Q252" s="14" t="s">
        <v>366</v>
      </c>
      <c r="R252" s="14" t="s">
        <v>49</v>
      </c>
      <c r="S252" s="14" t="s">
        <v>43</v>
      </c>
      <c r="T252" s="14">
        <f t="shared" si="1"/>
        <v>0</v>
      </c>
      <c r="U252" s="14">
        <f t="shared" si="2"/>
        <v>2</v>
      </c>
      <c r="V252" s="14">
        <f t="shared" si="3"/>
        <v>2</v>
      </c>
      <c r="W252" s="16">
        <f t="shared" si="4"/>
        <v>1</v>
      </c>
      <c r="X252" s="14" t="b">
        <f t="shared" si="5"/>
        <v>0</v>
      </c>
      <c r="Y252" s="17">
        <f t="shared" si="6"/>
        <v>1.154700538</v>
      </c>
    </row>
    <row r="253">
      <c r="A253" s="7" t="s">
        <v>1061</v>
      </c>
      <c r="B253" s="8" t="s">
        <v>1062</v>
      </c>
      <c r="C253" s="9" t="s">
        <v>1063</v>
      </c>
      <c r="D253" s="9" t="s">
        <v>459</v>
      </c>
      <c r="E253" s="10" t="s">
        <v>53</v>
      </c>
      <c r="F253" s="18" t="s">
        <v>44</v>
      </c>
      <c r="G253" s="12" t="s">
        <v>31</v>
      </c>
      <c r="H253" s="12" t="s">
        <v>31</v>
      </c>
      <c r="I253" s="12" t="s">
        <v>32</v>
      </c>
      <c r="J253" s="13" t="s">
        <v>45</v>
      </c>
      <c r="K253" s="14" t="s">
        <v>46</v>
      </c>
      <c r="L253" s="14" t="s">
        <v>34</v>
      </c>
      <c r="M253" s="14" t="s">
        <v>35</v>
      </c>
      <c r="N253" s="15" t="s">
        <v>36</v>
      </c>
      <c r="O253" s="14" t="s">
        <v>37</v>
      </c>
      <c r="P253" s="14" t="s">
        <v>36</v>
      </c>
      <c r="Q253" s="14" t="s">
        <v>693</v>
      </c>
      <c r="R253" s="14" t="s">
        <v>49</v>
      </c>
      <c r="S253" s="14" t="s">
        <v>37</v>
      </c>
      <c r="T253" s="14">
        <f t="shared" si="1"/>
        <v>1</v>
      </c>
      <c r="U253" s="14">
        <f t="shared" si="2"/>
        <v>2</v>
      </c>
      <c r="V253" s="14">
        <f t="shared" si="3"/>
        <v>1</v>
      </c>
      <c r="W253" s="16">
        <f t="shared" si="4"/>
        <v>1</v>
      </c>
      <c r="X253" s="14" t="b">
        <f t="shared" si="5"/>
        <v>0</v>
      </c>
      <c r="Y253" s="17">
        <f t="shared" si="6"/>
        <v>0.5773502692</v>
      </c>
    </row>
    <row r="254">
      <c r="A254" s="7" t="s">
        <v>1064</v>
      </c>
      <c r="B254" s="8" t="s">
        <v>1065</v>
      </c>
      <c r="C254" s="9" t="s">
        <v>1066</v>
      </c>
      <c r="D254" s="9" t="s">
        <v>1067</v>
      </c>
      <c r="E254" s="10" t="s">
        <v>892</v>
      </c>
      <c r="F254" s="11" t="s">
        <v>323</v>
      </c>
      <c r="G254" s="12" t="s">
        <v>31</v>
      </c>
      <c r="H254" s="12" t="s">
        <v>31</v>
      </c>
      <c r="I254" s="19" t="s">
        <v>31</v>
      </c>
      <c r="J254" s="13" t="s">
        <v>32</v>
      </c>
      <c r="K254" s="14" t="s">
        <v>46</v>
      </c>
      <c r="L254" s="14" t="s">
        <v>55</v>
      </c>
      <c r="M254" s="14" t="s">
        <v>35</v>
      </c>
      <c r="N254" s="15" t="s">
        <v>49</v>
      </c>
      <c r="O254" s="14" t="s">
        <v>37</v>
      </c>
      <c r="P254" s="14" t="s">
        <v>49</v>
      </c>
      <c r="Q254" s="14" t="s">
        <v>43</v>
      </c>
      <c r="R254" s="14" t="s">
        <v>49</v>
      </c>
      <c r="S254" s="14" t="s">
        <v>37</v>
      </c>
      <c r="T254" s="14">
        <f t="shared" si="1"/>
        <v>0</v>
      </c>
      <c r="U254" s="14">
        <f t="shared" si="2"/>
        <v>3</v>
      </c>
      <c r="V254" s="14">
        <f t="shared" si="3"/>
        <v>1</v>
      </c>
      <c r="W254" s="16">
        <f t="shared" si="4"/>
        <v>1</v>
      </c>
      <c r="X254" s="14" t="str">
        <f t="shared" si="5"/>
        <v>Offensive</v>
      </c>
      <c r="Y254" s="17">
        <f t="shared" si="6"/>
        <v>1.527525232</v>
      </c>
    </row>
    <row r="255">
      <c r="A255" s="7" t="s">
        <v>1068</v>
      </c>
      <c r="B255" s="8" t="s">
        <v>1069</v>
      </c>
      <c r="C255" s="9" t="s">
        <v>1070</v>
      </c>
      <c r="D255" s="9" t="s">
        <v>66</v>
      </c>
      <c r="E255" s="10" t="s">
        <v>536</v>
      </c>
      <c r="F255" s="11" t="s">
        <v>155</v>
      </c>
      <c r="G255" s="12" t="s">
        <v>31</v>
      </c>
      <c r="H255" s="12" t="s">
        <v>31</v>
      </c>
      <c r="I255" s="19" t="s">
        <v>32</v>
      </c>
      <c r="J255" s="13" t="s">
        <v>32</v>
      </c>
      <c r="K255" s="14" t="s">
        <v>46</v>
      </c>
      <c r="L255" s="14" t="s">
        <v>61</v>
      </c>
      <c r="M255" s="14" t="s">
        <v>35</v>
      </c>
      <c r="N255" s="15" t="s">
        <v>48</v>
      </c>
      <c r="O255" s="14" t="s">
        <v>115</v>
      </c>
      <c r="P255" s="14" t="s">
        <v>36</v>
      </c>
      <c r="Q255" s="14" t="s">
        <v>115</v>
      </c>
      <c r="R255" s="14" t="s">
        <v>36</v>
      </c>
      <c r="S255" s="14" t="s">
        <v>115</v>
      </c>
      <c r="T255" s="14">
        <f t="shared" si="1"/>
        <v>0</v>
      </c>
      <c r="U255" s="14">
        <f t="shared" si="2"/>
        <v>2</v>
      </c>
      <c r="V255" s="14">
        <f t="shared" si="3"/>
        <v>2</v>
      </c>
      <c r="W255" s="16">
        <f t="shared" si="4"/>
        <v>1</v>
      </c>
      <c r="X255" s="14" t="b">
        <f t="shared" si="5"/>
        <v>0</v>
      </c>
      <c r="Y255" s="17">
        <f t="shared" si="6"/>
        <v>1.154700538</v>
      </c>
    </row>
    <row r="256">
      <c r="A256" s="7" t="s">
        <v>1071</v>
      </c>
      <c r="B256" s="8" t="s">
        <v>1072</v>
      </c>
      <c r="C256" s="9" t="s">
        <v>1073</v>
      </c>
      <c r="D256" s="9" t="s">
        <v>42</v>
      </c>
      <c r="E256" s="10" t="s">
        <v>181</v>
      </c>
      <c r="F256" s="18" t="s">
        <v>44</v>
      </c>
      <c r="G256" s="12" t="s">
        <v>45</v>
      </c>
      <c r="H256" s="12" t="s">
        <v>45</v>
      </c>
      <c r="I256" s="19" t="s">
        <v>45</v>
      </c>
      <c r="J256" s="13" t="s">
        <v>45</v>
      </c>
      <c r="K256" s="14" t="s">
        <v>46</v>
      </c>
      <c r="L256" s="14" t="s">
        <v>33</v>
      </c>
      <c r="M256" s="14" t="s">
        <v>47</v>
      </c>
      <c r="N256" s="15" t="s">
        <v>48</v>
      </c>
      <c r="O256" s="14" t="s">
        <v>42</v>
      </c>
      <c r="P256" s="14" t="s">
        <v>48</v>
      </c>
      <c r="Q256" s="14" t="s">
        <v>42</v>
      </c>
      <c r="R256" s="14" t="s">
        <v>48</v>
      </c>
      <c r="S256" s="14" t="s">
        <v>42</v>
      </c>
      <c r="T256" s="14">
        <f t="shared" si="1"/>
        <v>4</v>
      </c>
      <c r="U256" s="14">
        <f t="shared" si="2"/>
        <v>0</v>
      </c>
      <c r="V256" s="14">
        <f t="shared" si="3"/>
        <v>0</v>
      </c>
      <c r="W256" s="16">
        <f t="shared" si="4"/>
        <v>1</v>
      </c>
      <c r="X256" s="14" t="str">
        <f t="shared" si="5"/>
        <v>Normal</v>
      </c>
      <c r="Y256" s="17">
        <f t="shared" si="6"/>
        <v>2.309401077</v>
      </c>
    </row>
    <row r="257">
      <c r="A257" s="7" t="s">
        <v>1074</v>
      </c>
      <c r="B257" s="8" t="s">
        <v>1075</v>
      </c>
      <c r="C257" s="9" t="s">
        <v>1076</v>
      </c>
      <c r="D257" s="9" t="s">
        <v>459</v>
      </c>
      <c r="E257" s="10" t="s">
        <v>53</v>
      </c>
      <c r="F257" s="11" t="s">
        <v>54</v>
      </c>
      <c r="G257" s="12" t="s">
        <v>31</v>
      </c>
      <c r="H257" s="12" t="s">
        <v>31</v>
      </c>
      <c r="I257" s="12" t="s">
        <v>32</v>
      </c>
      <c r="J257" s="13" t="s">
        <v>32</v>
      </c>
      <c r="K257" s="14" t="s">
        <v>46</v>
      </c>
      <c r="L257" s="14" t="s">
        <v>34</v>
      </c>
      <c r="M257" s="14" t="s">
        <v>35</v>
      </c>
      <c r="N257" s="15" t="s">
        <v>36</v>
      </c>
      <c r="O257" s="14" t="s">
        <v>37</v>
      </c>
      <c r="P257" s="14" t="s">
        <v>36</v>
      </c>
      <c r="Q257" s="14" t="s">
        <v>37</v>
      </c>
      <c r="R257" s="14" t="s">
        <v>36</v>
      </c>
      <c r="S257" s="14" t="s">
        <v>37</v>
      </c>
      <c r="T257" s="14">
        <f t="shared" si="1"/>
        <v>0</v>
      </c>
      <c r="U257" s="14">
        <f t="shared" si="2"/>
        <v>2</v>
      </c>
      <c r="V257" s="14">
        <f t="shared" si="3"/>
        <v>2</v>
      </c>
      <c r="W257" s="16">
        <f t="shared" si="4"/>
        <v>1</v>
      </c>
      <c r="X257" s="14" t="b">
        <f t="shared" si="5"/>
        <v>0</v>
      </c>
      <c r="Y257" s="17">
        <f t="shared" si="6"/>
        <v>1.154700538</v>
      </c>
    </row>
    <row r="258">
      <c r="A258" s="7" t="s">
        <v>1077</v>
      </c>
      <c r="B258" s="8" t="s">
        <v>1078</v>
      </c>
      <c r="C258" s="9" t="s">
        <v>1079</v>
      </c>
      <c r="D258" s="9" t="s">
        <v>42</v>
      </c>
      <c r="E258" s="10" t="s">
        <v>892</v>
      </c>
      <c r="F258" s="11" t="s">
        <v>54</v>
      </c>
      <c r="G258" s="12" t="s">
        <v>45</v>
      </c>
      <c r="H258" s="12" t="s">
        <v>32</v>
      </c>
      <c r="I258" s="19" t="s">
        <v>31</v>
      </c>
      <c r="J258" s="13" t="s">
        <v>31</v>
      </c>
      <c r="K258" s="14" t="s">
        <v>46</v>
      </c>
      <c r="L258" s="14" t="s">
        <v>55</v>
      </c>
      <c r="M258" s="14" t="s">
        <v>47</v>
      </c>
      <c r="N258" s="15" t="s">
        <v>48</v>
      </c>
      <c r="O258" s="14" t="s">
        <v>42</v>
      </c>
      <c r="P258" s="14" t="s">
        <v>48</v>
      </c>
      <c r="Q258" s="14" t="s">
        <v>42</v>
      </c>
      <c r="R258" s="14" t="s">
        <v>48</v>
      </c>
      <c r="S258" s="14" t="s">
        <v>42</v>
      </c>
      <c r="T258" s="14">
        <f t="shared" si="1"/>
        <v>1</v>
      </c>
      <c r="U258" s="14">
        <f t="shared" si="2"/>
        <v>2</v>
      </c>
      <c r="V258" s="14">
        <f t="shared" si="3"/>
        <v>1</v>
      </c>
      <c r="W258" s="16">
        <f t="shared" si="4"/>
        <v>1</v>
      </c>
      <c r="X258" s="14" t="b">
        <f t="shared" si="5"/>
        <v>0</v>
      </c>
      <c r="Y258" s="17">
        <f t="shared" si="6"/>
        <v>0.5773502692</v>
      </c>
    </row>
    <row r="259">
      <c r="A259" s="7" t="s">
        <v>1080</v>
      </c>
      <c r="B259" s="8" t="s">
        <v>1081</v>
      </c>
      <c r="C259" s="9" t="s">
        <v>1082</v>
      </c>
      <c r="D259" s="9" t="s">
        <v>42</v>
      </c>
      <c r="E259" s="10" t="s">
        <v>196</v>
      </c>
      <c r="F259" s="18" t="s">
        <v>44</v>
      </c>
      <c r="G259" s="12" t="s">
        <v>45</v>
      </c>
      <c r="H259" s="12" t="s">
        <v>45</v>
      </c>
      <c r="I259" s="19" t="s">
        <v>45</v>
      </c>
      <c r="J259" s="13" t="s">
        <v>45</v>
      </c>
      <c r="K259" s="14" t="s">
        <v>46</v>
      </c>
      <c r="L259" s="14" t="s">
        <v>61</v>
      </c>
      <c r="M259" s="14" t="s">
        <v>47</v>
      </c>
      <c r="N259" s="15" t="s">
        <v>48</v>
      </c>
      <c r="O259" s="14" t="s">
        <v>42</v>
      </c>
      <c r="P259" s="14" t="s">
        <v>48</v>
      </c>
      <c r="Q259" s="14" t="s">
        <v>42</v>
      </c>
      <c r="R259" s="14" t="s">
        <v>48</v>
      </c>
      <c r="S259" s="14" t="s">
        <v>42</v>
      </c>
      <c r="T259" s="14">
        <f t="shared" si="1"/>
        <v>4</v>
      </c>
      <c r="U259" s="14">
        <f t="shared" si="2"/>
        <v>0</v>
      </c>
      <c r="V259" s="14">
        <f t="shared" si="3"/>
        <v>0</v>
      </c>
      <c r="W259" s="16">
        <f t="shared" si="4"/>
        <v>1</v>
      </c>
      <c r="X259" s="14" t="str">
        <f t="shared" si="5"/>
        <v>Normal</v>
      </c>
      <c r="Y259" s="17">
        <f t="shared" si="6"/>
        <v>2.309401077</v>
      </c>
    </row>
    <row r="260">
      <c r="A260" s="7" t="s">
        <v>1083</v>
      </c>
      <c r="B260" s="8" t="s">
        <v>1084</v>
      </c>
      <c r="C260" s="9" t="s">
        <v>1085</v>
      </c>
      <c r="D260" s="9" t="s">
        <v>42</v>
      </c>
      <c r="E260" s="10" t="s">
        <v>181</v>
      </c>
      <c r="F260" s="18" t="s">
        <v>44</v>
      </c>
      <c r="G260" s="12" t="s">
        <v>45</v>
      </c>
      <c r="H260" s="12" t="s">
        <v>45</v>
      </c>
      <c r="I260" s="19" t="s">
        <v>45</v>
      </c>
      <c r="J260" s="13" t="s">
        <v>45</v>
      </c>
      <c r="K260" s="14" t="s">
        <v>46</v>
      </c>
      <c r="L260" s="14" t="s">
        <v>33</v>
      </c>
      <c r="M260" s="14" t="s">
        <v>47</v>
      </c>
      <c r="N260" s="15" t="s">
        <v>49</v>
      </c>
      <c r="O260" s="14" t="s">
        <v>283</v>
      </c>
      <c r="P260" s="14" t="s">
        <v>49</v>
      </c>
      <c r="Q260" s="14" t="s">
        <v>42</v>
      </c>
      <c r="R260" s="14" t="s">
        <v>48</v>
      </c>
      <c r="S260" s="14" t="s">
        <v>283</v>
      </c>
      <c r="T260" s="14">
        <f t="shared" si="1"/>
        <v>4</v>
      </c>
      <c r="U260" s="14">
        <f t="shared" si="2"/>
        <v>0</v>
      </c>
      <c r="V260" s="14">
        <f t="shared" si="3"/>
        <v>0</v>
      </c>
      <c r="W260" s="16">
        <f t="shared" si="4"/>
        <v>1</v>
      </c>
      <c r="X260" s="14" t="str">
        <f t="shared" si="5"/>
        <v>Normal</v>
      </c>
      <c r="Y260" s="17">
        <f t="shared" si="6"/>
        <v>2.309401077</v>
      </c>
    </row>
    <row r="261">
      <c r="A261" s="7" t="s">
        <v>1086</v>
      </c>
      <c r="B261" s="8" t="s">
        <v>1087</v>
      </c>
      <c r="C261" s="9" t="s">
        <v>1088</v>
      </c>
      <c r="D261" s="9" t="s">
        <v>459</v>
      </c>
      <c r="E261" s="10" t="s">
        <v>53</v>
      </c>
      <c r="F261" s="11" t="s">
        <v>54</v>
      </c>
      <c r="G261" s="12" t="s">
        <v>32</v>
      </c>
      <c r="H261" s="12" t="s">
        <v>31</v>
      </c>
      <c r="I261" s="12" t="s">
        <v>32</v>
      </c>
      <c r="J261" s="13" t="s">
        <v>32</v>
      </c>
      <c r="K261" s="14" t="s">
        <v>46</v>
      </c>
      <c r="L261" s="14" t="s">
        <v>34</v>
      </c>
      <c r="M261" s="14" t="s">
        <v>35</v>
      </c>
      <c r="N261" s="15" t="s">
        <v>48</v>
      </c>
      <c r="O261" s="14" t="s">
        <v>42</v>
      </c>
      <c r="P261" s="14" t="s">
        <v>48</v>
      </c>
      <c r="Q261" s="14" t="s">
        <v>42</v>
      </c>
      <c r="R261" s="14" t="s">
        <v>36</v>
      </c>
      <c r="S261" s="14" t="s">
        <v>37</v>
      </c>
      <c r="T261" s="14">
        <f t="shared" si="1"/>
        <v>0</v>
      </c>
      <c r="U261" s="14">
        <f t="shared" si="2"/>
        <v>1</v>
      </c>
      <c r="V261" s="14">
        <f t="shared" si="3"/>
        <v>3</v>
      </c>
      <c r="W261" s="16">
        <f t="shared" si="4"/>
        <v>1</v>
      </c>
      <c r="X261" s="14" t="str">
        <f t="shared" si="5"/>
        <v>Hate Speech</v>
      </c>
      <c r="Y261" s="17">
        <f t="shared" si="6"/>
        <v>1.527525232</v>
      </c>
    </row>
    <row r="262">
      <c r="A262" s="7" t="s">
        <v>1089</v>
      </c>
      <c r="B262" s="8" t="s">
        <v>1090</v>
      </c>
      <c r="C262" s="9" t="s">
        <v>1091</v>
      </c>
      <c r="D262" s="9" t="s">
        <v>42</v>
      </c>
      <c r="E262" s="10" t="s">
        <v>1092</v>
      </c>
      <c r="F262" s="18" t="s">
        <v>44</v>
      </c>
      <c r="G262" s="12" t="s">
        <v>45</v>
      </c>
      <c r="H262" s="12" t="s">
        <v>45</v>
      </c>
      <c r="I262" s="19" t="s">
        <v>32</v>
      </c>
      <c r="J262" s="13" t="s">
        <v>45</v>
      </c>
      <c r="K262" s="14" t="s">
        <v>46</v>
      </c>
      <c r="L262" s="14" t="s">
        <v>55</v>
      </c>
      <c r="M262" s="14" t="s">
        <v>35</v>
      </c>
      <c r="N262" s="15" t="s">
        <v>49</v>
      </c>
      <c r="O262" s="14" t="s">
        <v>283</v>
      </c>
      <c r="P262" s="14" t="s">
        <v>49</v>
      </c>
      <c r="Q262" s="14" t="s">
        <v>283</v>
      </c>
      <c r="R262" s="14" t="s">
        <v>36</v>
      </c>
      <c r="S262" s="14" t="s">
        <v>283</v>
      </c>
      <c r="T262" s="14">
        <f t="shared" si="1"/>
        <v>3</v>
      </c>
      <c r="U262" s="14">
        <f t="shared" si="2"/>
        <v>0</v>
      </c>
      <c r="V262" s="14">
        <f t="shared" si="3"/>
        <v>1</v>
      </c>
      <c r="W262" s="16">
        <f t="shared" si="4"/>
        <v>1</v>
      </c>
      <c r="X262" s="14" t="str">
        <f t="shared" si="5"/>
        <v>Normal</v>
      </c>
      <c r="Y262" s="17">
        <f t="shared" si="6"/>
        <v>1.527525232</v>
      </c>
    </row>
    <row r="263">
      <c r="A263" s="7" t="s">
        <v>1093</v>
      </c>
      <c r="B263" s="8" t="s">
        <v>1094</v>
      </c>
      <c r="C263" s="9" t="s">
        <v>1095</v>
      </c>
      <c r="D263" s="9" t="s">
        <v>459</v>
      </c>
      <c r="E263" s="10" t="s">
        <v>43</v>
      </c>
      <c r="F263" s="11" t="s">
        <v>54</v>
      </c>
      <c r="G263" s="12" t="s">
        <v>31</v>
      </c>
      <c r="H263" s="12" t="s">
        <v>45</v>
      </c>
      <c r="I263" s="19" t="s">
        <v>32</v>
      </c>
      <c r="J263" s="13" t="s">
        <v>32</v>
      </c>
      <c r="K263" s="14" t="s">
        <v>46</v>
      </c>
      <c r="L263" s="14" t="s">
        <v>61</v>
      </c>
      <c r="M263" s="14" t="s">
        <v>35</v>
      </c>
      <c r="N263" s="15" t="s">
        <v>36</v>
      </c>
      <c r="O263" s="14" t="s">
        <v>37</v>
      </c>
      <c r="P263" s="14" t="s">
        <v>36</v>
      </c>
      <c r="Q263" s="14" t="s">
        <v>37</v>
      </c>
      <c r="R263" s="14" t="s">
        <v>36</v>
      </c>
      <c r="S263" s="14" t="s">
        <v>1096</v>
      </c>
      <c r="T263" s="14">
        <f t="shared" si="1"/>
        <v>1</v>
      </c>
      <c r="U263" s="14">
        <f t="shared" si="2"/>
        <v>1</v>
      </c>
      <c r="V263" s="14">
        <f t="shared" si="3"/>
        <v>2</v>
      </c>
      <c r="W263" s="16">
        <f t="shared" si="4"/>
        <v>1</v>
      </c>
      <c r="X263" s="14" t="b">
        <f t="shared" si="5"/>
        <v>0</v>
      </c>
      <c r="Y263" s="17">
        <f t="shared" si="6"/>
        <v>0.5773502692</v>
      </c>
    </row>
    <row r="264">
      <c r="A264" s="7" t="s">
        <v>1097</v>
      </c>
      <c r="B264" s="8" t="s">
        <v>1098</v>
      </c>
      <c r="C264" s="9" t="s">
        <v>1099</v>
      </c>
      <c r="D264" s="9" t="s">
        <v>83</v>
      </c>
      <c r="E264" s="10" t="s">
        <v>121</v>
      </c>
      <c r="F264" s="11" t="s">
        <v>464</v>
      </c>
      <c r="G264" s="12" t="s">
        <v>31</v>
      </c>
      <c r="H264" s="12" t="s">
        <v>31</v>
      </c>
      <c r="I264" s="19" t="s">
        <v>31</v>
      </c>
      <c r="J264" s="13" t="s">
        <v>32</v>
      </c>
      <c r="K264" s="14" t="s">
        <v>46</v>
      </c>
      <c r="L264" s="14" t="s">
        <v>33</v>
      </c>
      <c r="M264" s="14" t="s">
        <v>35</v>
      </c>
      <c r="N264" s="15" t="s">
        <v>36</v>
      </c>
      <c r="O264" s="14" t="s">
        <v>83</v>
      </c>
      <c r="P264" s="14" t="s">
        <v>49</v>
      </c>
      <c r="Q264" s="14" t="s">
        <v>83</v>
      </c>
      <c r="R264" s="14" t="s">
        <v>49</v>
      </c>
      <c r="S264" s="14" t="s">
        <v>83</v>
      </c>
      <c r="T264" s="14">
        <f t="shared" si="1"/>
        <v>0</v>
      </c>
      <c r="U264" s="14">
        <f t="shared" si="2"/>
        <v>3</v>
      </c>
      <c r="V264" s="14">
        <f t="shared" si="3"/>
        <v>1</v>
      </c>
      <c r="W264" s="16">
        <f t="shared" si="4"/>
        <v>1</v>
      </c>
      <c r="X264" s="14" t="str">
        <f t="shared" si="5"/>
        <v>Offensive</v>
      </c>
      <c r="Y264" s="17">
        <f t="shared" si="6"/>
        <v>1.527525232</v>
      </c>
    </row>
    <row r="265">
      <c r="A265" s="7" t="s">
        <v>1100</v>
      </c>
      <c r="B265" s="8" t="s">
        <v>1101</v>
      </c>
      <c r="C265" s="9" t="s">
        <v>1102</v>
      </c>
      <c r="D265" s="9" t="s">
        <v>83</v>
      </c>
      <c r="E265" s="10" t="s">
        <v>1103</v>
      </c>
      <c r="F265" s="11" t="s">
        <v>121</v>
      </c>
      <c r="G265" s="12" t="s">
        <v>32</v>
      </c>
      <c r="H265" s="12" t="s">
        <v>32</v>
      </c>
      <c r="I265" s="12" t="s">
        <v>32</v>
      </c>
      <c r="J265" s="13" t="s">
        <v>31</v>
      </c>
      <c r="K265" s="14" t="s">
        <v>46</v>
      </c>
      <c r="L265" s="14" t="s">
        <v>34</v>
      </c>
      <c r="M265" s="14" t="s">
        <v>35</v>
      </c>
      <c r="N265" s="15" t="s">
        <v>49</v>
      </c>
      <c r="O265" s="14" t="s">
        <v>83</v>
      </c>
      <c r="P265" s="14" t="s">
        <v>36</v>
      </c>
      <c r="Q265" s="14" t="s">
        <v>105</v>
      </c>
      <c r="R265" s="14" t="s">
        <v>36</v>
      </c>
      <c r="S265" s="14" t="s">
        <v>105</v>
      </c>
      <c r="T265" s="14">
        <f t="shared" si="1"/>
        <v>0</v>
      </c>
      <c r="U265" s="14">
        <f t="shared" si="2"/>
        <v>1</v>
      </c>
      <c r="V265" s="14">
        <f t="shared" si="3"/>
        <v>3</v>
      </c>
      <c r="W265" s="16">
        <f t="shared" si="4"/>
        <v>1</v>
      </c>
      <c r="X265" s="14" t="str">
        <f t="shared" si="5"/>
        <v>Hate Speech</v>
      </c>
      <c r="Y265" s="17">
        <f t="shared" si="6"/>
        <v>1.527525232</v>
      </c>
    </row>
    <row r="266">
      <c r="A266" s="7" t="s">
        <v>1104</v>
      </c>
      <c r="B266" s="8" t="s">
        <v>1105</v>
      </c>
      <c r="C266" s="9" t="s">
        <v>1106</v>
      </c>
      <c r="D266" s="9" t="s">
        <v>42</v>
      </c>
      <c r="E266" s="10" t="s">
        <v>66</v>
      </c>
      <c r="F266" s="18" t="s">
        <v>44</v>
      </c>
      <c r="G266" s="12" t="s">
        <v>45</v>
      </c>
      <c r="H266" s="12" t="s">
        <v>45</v>
      </c>
      <c r="I266" s="19" t="s">
        <v>32</v>
      </c>
      <c r="J266" s="13" t="s">
        <v>45</v>
      </c>
      <c r="K266" s="14" t="s">
        <v>46</v>
      </c>
      <c r="L266" s="14" t="s">
        <v>55</v>
      </c>
      <c r="M266" s="14" t="s">
        <v>35</v>
      </c>
      <c r="N266" s="15" t="s">
        <v>48</v>
      </c>
      <c r="O266" s="14" t="s">
        <v>115</v>
      </c>
      <c r="P266" s="14" t="s">
        <v>48</v>
      </c>
      <c r="Q266" s="14" t="s">
        <v>201</v>
      </c>
      <c r="R266" s="14" t="s">
        <v>36</v>
      </c>
      <c r="S266" s="14" t="s">
        <v>115</v>
      </c>
      <c r="T266" s="14">
        <f t="shared" si="1"/>
        <v>3</v>
      </c>
      <c r="U266" s="14">
        <f t="shared" si="2"/>
        <v>0</v>
      </c>
      <c r="V266" s="14">
        <f t="shared" si="3"/>
        <v>1</v>
      </c>
      <c r="W266" s="16">
        <f t="shared" si="4"/>
        <v>1</v>
      </c>
      <c r="X266" s="14" t="str">
        <f t="shared" si="5"/>
        <v>Normal</v>
      </c>
      <c r="Y266" s="17">
        <f t="shared" si="6"/>
        <v>1.527525232</v>
      </c>
    </row>
    <row r="267">
      <c r="A267" s="7" t="s">
        <v>1107</v>
      </c>
      <c r="B267" s="8" t="s">
        <v>1108</v>
      </c>
      <c r="C267" s="9" t="s">
        <v>1109</v>
      </c>
      <c r="D267" s="9" t="s">
        <v>42</v>
      </c>
      <c r="E267" s="10" t="s">
        <v>84</v>
      </c>
      <c r="F267" s="18" t="s">
        <v>44</v>
      </c>
      <c r="G267" s="12" t="s">
        <v>45</v>
      </c>
      <c r="H267" s="12" t="s">
        <v>45</v>
      </c>
      <c r="I267" s="19" t="s">
        <v>45</v>
      </c>
      <c r="J267" s="13" t="s">
        <v>45</v>
      </c>
      <c r="K267" s="14" t="s">
        <v>46</v>
      </c>
      <c r="L267" s="14" t="s">
        <v>61</v>
      </c>
      <c r="M267" s="14" t="s">
        <v>47</v>
      </c>
      <c r="N267" s="15" t="s">
        <v>48</v>
      </c>
      <c r="O267" s="14" t="s">
        <v>42</v>
      </c>
      <c r="P267" s="14" t="s">
        <v>48</v>
      </c>
      <c r="Q267" s="14" t="s">
        <v>42</v>
      </c>
      <c r="R267" s="14" t="s">
        <v>48</v>
      </c>
      <c r="S267" s="14" t="s">
        <v>42</v>
      </c>
      <c r="T267" s="14">
        <f t="shared" si="1"/>
        <v>4</v>
      </c>
      <c r="U267" s="14">
        <f t="shared" si="2"/>
        <v>0</v>
      </c>
      <c r="V267" s="14">
        <f t="shared" si="3"/>
        <v>0</v>
      </c>
      <c r="W267" s="16">
        <f t="shared" si="4"/>
        <v>1</v>
      </c>
      <c r="X267" s="14" t="str">
        <f t="shared" si="5"/>
        <v>Normal</v>
      </c>
      <c r="Y267" s="17">
        <f t="shared" si="6"/>
        <v>2.309401077</v>
      </c>
    </row>
    <row r="268">
      <c r="A268" s="7" t="s">
        <v>1110</v>
      </c>
      <c r="B268" s="8" t="s">
        <v>1111</v>
      </c>
      <c r="C268" s="9" t="s">
        <v>1112</v>
      </c>
      <c r="D268" s="9" t="s">
        <v>891</v>
      </c>
      <c r="E268" s="10" t="s">
        <v>323</v>
      </c>
      <c r="F268" s="11" t="s">
        <v>323</v>
      </c>
      <c r="G268" s="12" t="s">
        <v>31</v>
      </c>
      <c r="H268" s="12" t="s">
        <v>31</v>
      </c>
      <c r="I268" s="19" t="s">
        <v>32</v>
      </c>
      <c r="J268" s="13" t="s">
        <v>32</v>
      </c>
      <c r="K268" s="14" t="s">
        <v>46</v>
      </c>
      <c r="L268" s="14" t="s">
        <v>33</v>
      </c>
      <c r="M268" s="14" t="s">
        <v>35</v>
      </c>
      <c r="N268" s="15" t="s">
        <v>36</v>
      </c>
      <c r="O268" s="14" t="s">
        <v>94</v>
      </c>
      <c r="P268" s="14" t="s">
        <v>36</v>
      </c>
      <c r="Q268" s="14" t="s">
        <v>1113</v>
      </c>
      <c r="R268" s="14" t="s">
        <v>36</v>
      </c>
      <c r="S268" s="14" t="s">
        <v>94</v>
      </c>
      <c r="T268" s="14">
        <f t="shared" si="1"/>
        <v>0</v>
      </c>
      <c r="U268" s="14">
        <f t="shared" si="2"/>
        <v>2</v>
      </c>
      <c r="V268" s="14">
        <f t="shared" si="3"/>
        <v>2</v>
      </c>
      <c r="W268" s="16">
        <f t="shared" si="4"/>
        <v>1</v>
      </c>
      <c r="X268" s="14" t="b">
        <f t="shared" si="5"/>
        <v>0</v>
      </c>
      <c r="Y268" s="17">
        <f t="shared" si="6"/>
        <v>1.154700538</v>
      </c>
    </row>
    <row r="269">
      <c r="A269" s="7" t="s">
        <v>1114</v>
      </c>
      <c r="B269" s="8" t="s">
        <v>1115</v>
      </c>
      <c r="C269" s="9" t="s">
        <v>1116</v>
      </c>
      <c r="D269" s="9" t="s">
        <v>42</v>
      </c>
      <c r="E269" s="10" t="s">
        <v>374</v>
      </c>
      <c r="F269" s="18" t="s">
        <v>44</v>
      </c>
      <c r="G269" s="12" t="s">
        <v>45</v>
      </c>
      <c r="H269" s="12"/>
      <c r="I269" s="12" t="s">
        <v>32</v>
      </c>
      <c r="J269" s="13" t="s">
        <v>45</v>
      </c>
      <c r="K269" s="14" t="s">
        <v>46</v>
      </c>
      <c r="L269" s="14" t="s">
        <v>34</v>
      </c>
      <c r="M269" s="14" t="s">
        <v>35</v>
      </c>
      <c r="N269" s="15" t="s">
        <v>49</v>
      </c>
      <c r="O269" s="14" t="s">
        <v>1117</v>
      </c>
      <c r="P269" s="14" t="s">
        <v>49</v>
      </c>
      <c r="Q269" s="14" t="s">
        <v>283</v>
      </c>
      <c r="R269" s="14" t="s">
        <v>48</v>
      </c>
      <c r="S269" s="14" t="s">
        <v>183</v>
      </c>
      <c r="T269" s="14">
        <f t="shared" si="1"/>
        <v>2</v>
      </c>
      <c r="U269" s="14">
        <f t="shared" si="2"/>
        <v>0</v>
      </c>
      <c r="V269" s="14">
        <f t="shared" si="3"/>
        <v>1</v>
      </c>
      <c r="W269" s="16">
        <f t="shared" si="4"/>
        <v>0.75</v>
      </c>
      <c r="X269" s="14" t="b">
        <f t="shared" si="5"/>
        <v>0</v>
      </c>
      <c r="Y269" s="17">
        <f t="shared" si="6"/>
        <v>1</v>
      </c>
    </row>
    <row r="270">
      <c r="A270" s="7" t="s">
        <v>1118</v>
      </c>
      <c r="B270" s="8" t="s">
        <v>1119</v>
      </c>
      <c r="C270" s="9" t="s">
        <v>1120</v>
      </c>
      <c r="D270" s="9" t="s">
        <v>459</v>
      </c>
      <c r="E270" s="10" t="s">
        <v>53</v>
      </c>
      <c r="F270" s="11" t="s">
        <v>54</v>
      </c>
      <c r="G270" s="12" t="s">
        <v>45</v>
      </c>
      <c r="H270" s="12" t="s">
        <v>31</v>
      </c>
      <c r="I270" s="19" t="s">
        <v>31</v>
      </c>
      <c r="J270" s="13" t="s">
        <v>31</v>
      </c>
      <c r="K270" s="14" t="s">
        <v>46</v>
      </c>
      <c r="L270" s="14" t="s">
        <v>55</v>
      </c>
      <c r="M270" s="14" t="s">
        <v>47</v>
      </c>
      <c r="N270" s="15" t="s">
        <v>49</v>
      </c>
      <c r="O270" s="14" t="s">
        <v>37</v>
      </c>
      <c r="P270" s="14" t="s">
        <v>49</v>
      </c>
      <c r="Q270" s="14" t="s">
        <v>42</v>
      </c>
      <c r="R270" s="14" t="s">
        <v>36</v>
      </c>
      <c r="S270" s="14" t="s">
        <v>37</v>
      </c>
      <c r="T270" s="14">
        <f t="shared" si="1"/>
        <v>1</v>
      </c>
      <c r="U270" s="14">
        <f t="shared" si="2"/>
        <v>3</v>
      </c>
      <c r="V270" s="14">
        <f t="shared" si="3"/>
        <v>0</v>
      </c>
      <c r="W270" s="16">
        <f t="shared" si="4"/>
        <v>1</v>
      </c>
      <c r="X270" s="14" t="str">
        <f t="shared" si="5"/>
        <v>Offensive</v>
      </c>
      <c r="Y270" s="17">
        <f t="shared" si="6"/>
        <v>1.527525232</v>
      </c>
    </row>
    <row r="271">
      <c r="A271" s="7" t="s">
        <v>1121</v>
      </c>
      <c r="B271" s="8" t="s">
        <v>1122</v>
      </c>
      <c r="C271" s="9" t="s">
        <v>1123</v>
      </c>
      <c r="D271" s="9" t="s">
        <v>83</v>
      </c>
      <c r="E271" s="10" t="s">
        <v>43</v>
      </c>
      <c r="F271" s="18" t="s">
        <v>44</v>
      </c>
      <c r="G271" s="12" t="s">
        <v>31</v>
      </c>
      <c r="H271" s="12" t="s">
        <v>45</v>
      </c>
      <c r="I271" s="19" t="s">
        <v>31</v>
      </c>
      <c r="J271" s="13" t="s">
        <v>45</v>
      </c>
      <c r="K271" s="14" t="s">
        <v>46</v>
      </c>
      <c r="L271" s="14" t="s">
        <v>61</v>
      </c>
      <c r="M271" s="14" t="s">
        <v>47</v>
      </c>
      <c r="N271" s="15" t="s">
        <v>48</v>
      </c>
      <c r="O271" s="14" t="s">
        <v>83</v>
      </c>
      <c r="P271" s="14" t="s">
        <v>48</v>
      </c>
      <c r="Q271" s="14" t="s">
        <v>42</v>
      </c>
      <c r="R271" s="14" t="s">
        <v>36</v>
      </c>
      <c r="S271" s="14" t="s">
        <v>83</v>
      </c>
      <c r="T271" s="14">
        <f t="shared" si="1"/>
        <v>2</v>
      </c>
      <c r="U271" s="14">
        <f t="shared" si="2"/>
        <v>2</v>
      </c>
      <c r="V271" s="14">
        <f t="shared" si="3"/>
        <v>0</v>
      </c>
      <c r="W271" s="16">
        <f t="shared" si="4"/>
        <v>1</v>
      </c>
      <c r="X271" s="14" t="b">
        <f t="shared" si="5"/>
        <v>0</v>
      </c>
      <c r="Y271" s="17">
        <f t="shared" si="6"/>
        <v>1.154700538</v>
      </c>
    </row>
    <row r="272">
      <c r="A272" s="7" t="s">
        <v>1124</v>
      </c>
      <c r="B272" s="8" t="s">
        <v>1125</v>
      </c>
      <c r="C272" s="9" t="s">
        <v>1126</v>
      </c>
      <c r="D272" s="9" t="s">
        <v>1127</v>
      </c>
      <c r="E272" s="10" t="s">
        <v>1128</v>
      </c>
      <c r="F272" s="18" t="s">
        <v>44</v>
      </c>
      <c r="G272" s="12" t="s">
        <v>31</v>
      </c>
      <c r="H272" s="12" t="s">
        <v>31</v>
      </c>
      <c r="I272" s="19" t="s">
        <v>32</v>
      </c>
      <c r="J272" s="13" t="s">
        <v>45</v>
      </c>
      <c r="K272" s="14" t="s">
        <v>46</v>
      </c>
      <c r="L272" s="14" t="s">
        <v>33</v>
      </c>
      <c r="M272" s="14" t="s">
        <v>35</v>
      </c>
      <c r="N272" s="15" t="s">
        <v>36</v>
      </c>
      <c r="O272" s="14" t="s">
        <v>598</v>
      </c>
      <c r="P272" s="14" t="s">
        <v>49</v>
      </c>
      <c r="Q272" s="14" t="s">
        <v>1129</v>
      </c>
      <c r="R272" s="14" t="s">
        <v>49</v>
      </c>
      <c r="S272" s="14" t="s">
        <v>598</v>
      </c>
      <c r="T272" s="14">
        <f t="shared" si="1"/>
        <v>1</v>
      </c>
      <c r="U272" s="14">
        <f t="shared" si="2"/>
        <v>2</v>
      </c>
      <c r="V272" s="14">
        <f t="shared" si="3"/>
        <v>1</v>
      </c>
      <c r="W272" s="16">
        <f t="shared" si="4"/>
        <v>1</v>
      </c>
      <c r="X272" s="14" t="b">
        <f t="shared" si="5"/>
        <v>0</v>
      </c>
      <c r="Y272" s="17">
        <f t="shared" si="6"/>
        <v>0.5773502692</v>
      </c>
    </row>
    <row r="273">
      <c r="A273" s="7" t="s">
        <v>1130</v>
      </c>
      <c r="B273" s="8" t="s">
        <v>1131</v>
      </c>
      <c r="C273" s="9" t="s">
        <v>1132</v>
      </c>
      <c r="D273" s="9" t="s">
        <v>543</v>
      </c>
      <c r="E273" s="10" t="s">
        <v>109</v>
      </c>
      <c r="F273" s="11" t="s">
        <v>110</v>
      </c>
      <c r="G273" s="12" t="s">
        <v>31</v>
      </c>
      <c r="H273" s="12" t="s">
        <v>31</v>
      </c>
      <c r="I273" s="12" t="s">
        <v>31</v>
      </c>
      <c r="J273" s="13" t="s">
        <v>31</v>
      </c>
      <c r="K273" s="14" t="s">
        <v>46</v>
      </c>
      <c r="L273" s="14" t="s">
        <v>34</v>
      </c>
      <c r="M273" s="14" t="s">
        <v>35</v>
      </c>
      <c r="N273" s="15" t="s">
        <v>49</v>
      </c>
      <c r="O273" s="14" t="s">
        <v>42</v>
      </c>
      <c r="P273" s="14" t="s">
        <v>36</v>
      </c>
      <c r="Q273" s="14" t="s">
        <v>105</v>
      </c>
      <c r="R273" s="14" t="s">
        <v>49</v>
      </c>
      <c r="S273" s="14" t="s">
        <v>42</v>
      </c>
      <c r="T273" s="14">
        <f t="shared" si="1"/>
        <v>0</v>
      </c>
      <c r="U273" s="14">
        <f t="shared" si="2"/>
        <v>4</v>
      </c>
      <c r="V273" s="14">
        <f t="shared" si="3"/>
        <v>0</v>
      </c>
      <c r="W273" s="16">
        <f t="shared" si="4"/>
        <v>1</v>
      </c>
      <c r="X273" s="14" t="str">
        <f t="shared" si="5"/>
        <v>Offensive</v>
      </c>
      <c r="Y273" s="17">
        <f t="shared" si="6"/>
        <v>2.309401077</v>
      </c>
    </row>
    <row r="274">
      <c r="A274" s="7" t="s">
        <v>1133</v>
      </c>
      <c r="B274" s="8" t="s">
        <v>1134</v>
      </c>
      <c r="C274" s="9" t="s">
        <v>1135</v>
      </c>
      <c r="D274" s="9" t="s">
        <v>459</v>
      </c>
      <c r="E274" s="10" t="s">
        <v>892</v>
      </c>
      <c r="F274" s="11" t="s">
        <v>54</v>
      </c>
      <c r="G274" s="12" t="s">
        <v>45</v>
      </c>
      <c r="H274" s="12" t="s">
        <v>31</v>
      </c>
      <c r="I274" s="19" t="s">
        <v>31</v>
      </c>
      <c r="J274" s="13" t="s">
        <v>31</v>
      </c>
      <c r="K274" s="14" t="s">
        <v>46</v>
      </c>
      <c r="L274" s="14" t="s">
        <v>55</v>
      </c>
      <c r="M274" s="14" t="s">
        <v>47</v>
      </c>
      <c r="N274" s="15" t="s">
        <v>48</v>
      </c>
      <c r="O274" s="14" t="s">
        <v>42</v>
      </c>
      <c r="P274" s="14" t="s">
        <v>48</v>
      </c>
      <c r="Q274" s="14" t="s">
        <v>42</v>
      </c>
      <c r="R274" s="14" t="s">
        <v>48</v>
      </c>
      <c r="S274" s="14" t="s">
        <v>42</v>
      </c>
      <c r="T274" s="14">
        <f t="shared" si="1"/>
        <v>1</v>
      </c>
      <c r="U274" s="14">
        <f t="shared" si="2"/>
        <v>3</v>
      </c>
      <c r="V274" s="14">
        <f t="shared" si="3"/>
        <v>0</v>
      </c>
      <c r="W274" s="16">
        <f t="shared" si="4"/>
        <v>1</v>
      </c>
      <c r="X274" s="14" t="str">
        <f t="shared" si="5"/>
        <v>Offensive</v>
      </c>
      <c r="Y274" s="17">
        <f t="shared" si="6"/>
        <v>1.527525232</v>
      </c>
    </row>
    <row r="275">
      <c r="A275" s="7" t="s">
        <v>1136</v>
      </c>
      <c r="B275" s="8" t="s">
        <v>1137</v>
      </c>
      <c r="C275" s="9" t="s">
        <v>1138</v>
      </c>
      <c r="D275" s="9" t="s">
        <v>42</v>
      </c>
      <c r="E275" s="10" t="s">
        <v>269</v>
      </c>
      <c r="F275" s="18" t="s">
        <v>44</v>
      </c>
      <c r="G275" s="12" t="s">
        <v>45</v>
      </c>
      <c r="H275" s="12" t="s">
        <v>45</v>
      </c>
      <c r="I275" s="19" t="s">
        <v>31</v>
      </c>
      <c r="J275" s="13" t="s">
        <v>45</v>
      </c>
      <c r="K275" s="14" t="s">
        <v>46</v>
      </c>
      <c r="L275" s="14" t="s">
        <v>61</v>
      </c>
      <c r="M275" s="14" t="s">
        <v>47</v>
      </c>
      <c r="N275" s="15" t="s">
        <v>48</v>
      </c>
      <c r="O275" s="14" t="s">
        <v>42</v>
      </c>
      <c r="P275" s="14" t="s">
        <v>48</v>
      </c>
      <c r="Q275" s="14" t="s">
        <v>42</v>
      </c>
      <c r="R275" s="14" t="s">
        <v>48</v>
      </c>
      <c r="S275" s="14" t="s">
        <v>42</v>
      </c>
      <c r="T275" s="14">
        <f t="shared" si="1"/>
        <v>3</v>
      </c>
      <c r="U275" s="14">
        <f t="shared" si="2"/>
        <v>1</v>
      </c>
      <c r="V275" s="14">
        <f t="shared" si="3"/>
        <v>0</v>
      </c>
      <c r="W275" s="16">
        <f t="shared" si="4"/>
        <v>1</v>
      </c>
      <c r="X275" s="14" t="str">
        <f t="shared" si="5"/>
        <v>Normal</v>
      </c>
      <c r="Y275" s="17">
        <f t="shared" si="6"/>
        <v>1.527525232</v>
      </c>
    </row>
    <row r="276">
      <c r="A276" s="7" t="s">
        <v>1139</v>
      </c>
      <c r="B276" s="8" t="s">
        <v>1140</v>
      </c>
      <c r="C276" s="9" t="s">
        <v>1141</v>
      </c>
      <c r="D276" s="9" t="s">
        <v>1142</v>
      </c>
      <c r="E276" s="10" t="s">
        <v>121</v>
      </c>
      <c r="F276" s="11" t="s">
        <v>1143</v>
      </c>
      <c r="G276" s="12" t="s">
        <v>31</v>
      </c>
      <c r="H276" s="12" t="s">
        <v>31</v>
      </c>
      <c r="I276" s="19" t="s">
        <v>31</v>
      </c>
      <c r="J276" s="13" t="s">
        <v>31</v>
      </c>
      <c r="K276" s="14" t="s">
        <v>46</v>
      </c>
      <c r="L276" s="14" t="s">
        <v>33</v>
      </c>
      <c r="M276" s="14" t="s">
        <v>47</v>
      </c>
      <c r="N276" s="15" t="s">
        <v>48</v>
      </c>
      <c r="O276" s="14" t="s">
        <v>42</v>
      </c>
      <c r="P276" s="14" t="s">
        <v>48</v>
      </c>
      <c r="Q276" s="14" t="s">
        <v>42</v>
      </c>
      <c r="R276" s="14" t="s">
        <v>48</v>
      </c>
      <c r="S276" s="14" t="s">
        <v>83</v>
      </c>
      <c r="T276" s="14">
        <f t="shared" si="1"/>
        <v>0</v>
      </c>
      <c r="U276" s="14">
        <f t="shared" si="2"/>
        <v>4</v>
      </c>
      <c r="V276" s="14">
        <f t="shared" si="3"/>
        <v>0</v>
      </c>
      <c r="W276" s="16">
        <f t="shared" si="4"/>
        <v>1</v>
      </c>
      <c r="X276" s="14" t="str">
        <f t="shared" si="5"/>
        <v>Offensive</v>
      </c>
      <c r="Y276" s="17">
        <f t="shared" si="6"/>
        <v>2.309401077</v>
      </c>
    </row>
    <row r="277">
      <c r="A277" s="7" t="s">
        <v>1144</v>
      </c>
      <c r="B277" s="8" t="s">
        <v>1145</v>
      </c>
      <c r="C277" s="9" t="s">
        <v>1146</v>
      </c>
      <c r="D277" s="9" t="s">
        <v>83</v>
      </c>
      <c r="E277" s="10" t="s">
        <v>83</v>
      </c>
      <c r="F277" s="11" t="s">
        <v>121</v>
      </c>
      <c r="G277" s="12" t="s">
        <v>31</v>
      </c>
      <c r="H277" s="12" t="s">
        <v>31</v>
      </c>
      <c r="I277" s="12" t="s">
        <v>31</v>
      </c>
      <c r="J277" s="13" t="s">
        <v>31</v>
      </c>
      <c r="K277" s="14" t="s">
        <v>46</v>
      </c>
      <c r="L277" s="14" t="s">
        <v>34</v>
      </c>
      <c r="M277" s="14" t="s">
        <v>47</v>
      </c>
      <c r="N277" s="15" t="s">
        <v>49</v>
      </c>
      <c r="O277" s="14" t="s">
        <v>83</v>
      </c>
      <c r="P277" s="14" t="s">
        <v>49</v>
      </c>
      <c r="Q277" s="14" t="s">
        <v>83</v>
      </c>
      <c r="R277" s="14" t="s">
        <v>49</v>
      </c>
      <c r="S277" s="14" t="s">
        <v>83</v>
      </c>
      <c r="T277" s="14">
        <f t="shared" si="1"/>
        <v>0</v>
      </c>
      <c r="U277" s="14">
        <f t="shared" si="2"/>
        <v>4</v>
      </c>
      <c r="V277" s="14">
        <f t="shared" si="3"/>
        <v>0</v>
      </c>
      <c r="W277" s="16">
        <f t="shared" si="4"/>
        <v>1</v>
      </c>
      <c r="X277" s="14" t="str">
        <f t="shared" si="5"/>
        <v>Offensive</v>
      </c>
      <c r="Y277" s="17">
        <f t="shared" si="6"/>
        <v>2.309401077</v>
      </c>
    </row>
    <row r="278">
      <c r="A278" s="7" t="s">
        <v>1147</v>
      </c>
      <c r="B278" s="8" t="s">
        <v>1148</v>
      </c>
      <c r="C278" s="9" t="s">
        <v>1149</v>
      </c>
      <c r="D278" s="9" t="s">
        <v>42</v>
      </c>
      <c r="E278" s="10" t="s">
        <v>1150</v>
      </c>
      <c r="F278" s="11" t="s">
        <v>73</v>
      </c>
      <c r="G278" s="12" t="s">
        <v>45</v>
      </c>
      <c r="H278" s="12" t="s">
        <v>31</v>
      </c>
      <c r="I278" s="19" t="s">
        <v>32</v>
      </c>
      <c r="J278" s="13" t="s">
        <v>32</v>
      </c>
      <c r="K278" s="14" t="s">
        <v>46</v>
      </c>
      <c r="L278" s="14" t="s">
        <v>55</v>
      </c>
      <c r="M278" s="14" t="s">
        <v>35</v>
      </c>
      <c r="N278" s="15" t="s">
        <v>36</v>
      </c>
      <c r="O278" s="14" t="s">
        <v>1151</v>
      </c>
      <c r="P278" s="14" t="s">
        <v>48</v>
      </c>
      <c r="Q278" s="14" t="s">
        <v>1151</v>
      </c>
      <c r="R278" s="14" t="s">
        <v>36</v>
      </c>
      <c r="S278" s="14" t="s">
        <v>1152</v>
      </c>
      <c r="T278" s="14">
        <f t="shared" si="1"/>
        <v>1</v>
      </c>
      <c r="U278" s="14">
        <f t="shared" si="2"/>
        <v>1</v>
      </c>
      <c r="V278" s="14">
        <f t="shared" si="3"/>
        <v>2</v>
      </c>
      <c r="W278" s="16">
        <f t="shared" si="4"/>
        <v>1</v>
      </c>
      <c r="X278" s="14" t="b">
        <f t="shared" si="5"/>
        <v>0</v>
      </c>
      <c r="Y278" s="17">
        <f t="shared" si="6"/>
        <v>0.5773502692</v>
      </c>
    </row>
    <row r="279">
      <c r="A279" s="7" t="s">
        <v>1153</v>
      </c>
      <c r="B279" s="8" t="s">
        <v>1154</v>
      </c>
      <c r="C279" s="9" t="s">
        <v>1155</v>
      </c>
      <c r="D279" s="9" t="s">
        <v>66</v>
      </c>
      <c r="E279" s="10" t="s">
        <v>1156</v>
      </c>
      <c r="F279" s="11" t="s">
        <v>155</v>
      </c>
      <c r="G279" s="12" t="s">
        <v>31</v>
      </c>
      <c r="H279" s="12" t="s">
        <v>31</v>
      </c>
      <c r="I279" s="19" t="s">
        <v>32</v>
      </c>
      <c r="J279" s="13" t="s">
        <v>32</v>
      </c>
      <c r="K279" s="14" t="s">
        <v>46</v>
      </c>
      <c r="L279" s="14" t="s">
        <v>61</v>
      </c>
      <c r="M279" s="14" t="s">
        <v>35</v>
      </c>
      <c r="N279" s="15" t="s">
        <v>49</v>
      </c>
      <c r="O279" s="14" t="s">
        <v>115</v>
      </c>
      <c r="P279" s="14" t="s">
        <v>49</v>
      </c>
      <c r="Q279" s="14" t="s">
        <v>115</v>
      </c>
      <c r="R279" s="14" t="s">
        <v>36</v>
      </c>
      <c r="S279" s="14" t="s">
        <v>116</v>
      </c>
      <c r="T279" s="14">
        <f t="shared" si="1"/>
        <v>0</v>
      </c>
      <c r="U279" s="14">
        <f t="shared" si="2"/>
        <v>2</v>
      </c>
      <c r="V279" s="14">
        <f t="shared" si="3"/>
        <v>2</v>
      </c>
      <c r="W279" s="16">
        <f t="shared" si="4"/>
        <v>1</v>
      </c>
      <c r="X279" s="14" t="b">
        <f t="shared" si="5"/>
        <v>0</v>
      </c>
      <c r="Y279" s="17">
        <f t="shared" si="6"/>
        <v>1.154700538</v>
      </c>
    </row>
    <row r="280">
      <c r="A280" s="7" t="s">
        <v>1157</v>
      </c>
      <c r="B280" s="8" t="s">
        <v>1158</v>
      </c>
      <c r="C280" s="9" t="s">
        <v>1159</v>
      </c>
      <c r="D280" s="9" t="s">
        <v>42</v>
      </c>
      <c r="E280" s="10" t="s">
        <v>114</v>
      </c>
      <c r="F280" s="18" t="s">
        <v>44</v>
      </c>
      <c r="G280" s="12" t="s">
        <v>45</v>
      </c>
      <c r="H280" s="12" t="s">
        <v>32</v>
      </c>
      <c r="I280" s="19" t="s">
        <v>32</v>
      </c>
      <c r="J280" s="13" t="s">
        <v>45</v>
      </c>
      <c r="K280" s="14" t="s">
        <v>46</v>
      </c>
      <c r="L280" s="14" t="s">
        <v>33</v>
      </c>
      <c r="M280" s="14" t="s">
        <v>35</v>
      </c>
      <c r="N280" s="15" t="s">
        <v>48</v>
      </c>
      <c r="O280" s="14" t="s">
        <v>42</v>
      </c>
      <c r="P280" s="14" t="s">
        <v>49</v>
      </c>
      <c r="Q280" s="14" t="s">
        <v>115</v>
      </c>
      <c r="R280" s="14" t="s">
        <v>48</v>
      </c>
      <c r="S280" s="14" t="s">
        <v>42</v>
      </c>
      <c r="T280" s="14">
        <f t="shared" si="1"/>
        <v>2</v>
      </c>
      <c r="U280" s="14">
        <f t="shared" si="2"/>
        <v>0</v>
      </c>
      <c r="V280" s="14">
        <f t="shared" si="3"/>
        <v>2</v>
      </c>
      <c r="W280" s="16">
        <f t="shared" si="4"/>
        <v>1</v>
      </c>
      <c r="X280" s="14" t="b">
        <f t="shared" si="5"/>
        <v>0</v>
      </c>
      <c r="Y280" s="17">
        <f t="shared" si="6"/>
        <v>1.154700538</v>
      </c>
    </row>
    <row r="281">
      <c r="A281" s="7" t="s">
        <v>1160</v>
      </c>
      <c r="B281" s="8" t="s">
        <v>1161</v>
      </c>
      <c r="C281" s="9" t="s">
        <v>1162</v>
      </c>
      <c r="D281" s="9" t="s">
        <v>42</v>
      </c>
      <c r="E281" s="10" t="s">
        <v>83</v>
      </c>
      <c r="F281" s="18" t="s">
        <v>44</v>
      </c>
      <c r="G281" s="12" t="s">
        <v>45</v>
      </c>
      <c r="H281" s="12" t="s">
        <v>45</v>
      </c>
      <c r="I281" s="12" t="s">
        <v>31</v>
      </c>
      <c r="J281" s="13" t="s">
        <v>45</v>
      </c>
      <c r="K281" s="14" t="s">
        <v>46</v>
      </c>
      <c r="L281" s="14" t="s">
        <v>34</v>
      </c>
      <c r="M281" s="14" t="s">
        <v>47</v>
      </c>
      <c r="N281" s="15" t="s">
        <v>48</v>
      </c>
      <c r="O281" s="14" t="s">
        <v>42</v>
      </c>
      <c r="P281" s="14" t="s">
        <v>49</v>
      </c>
      <c r="Q281" s="14" t="s">
        <v>83</v>
      </c>
      <c r="R281" s="14" t="s">
        <v>48</v>
      </c>
      <c r="S281" s="14" t="s">
        <v>83</v>
      </c>
      <c r="T281" s="14">
        <f t="shared" si="1"/>
        <v>3</v>
      </c>
      <c r="U281" s="14">
        <f t="shared" si="2"/>
        <v>1</v>
      </c>
      <c r="V281" s="14">
        <f t="shared" si="3"/>
        <v>0</v>
      </c>
      <c r="W281" s="16">
        <f t="shared" si="4"/>
        <v>1</v>
      </c>
      <c r="X281" s="14" t="str">
        <f t="shared" si="5"/>
        <v>Normal</v>
      </c>
      <c r="Y281" s="17">
        <f t="shared" si="6"/>
        <v>1.527525232</v>
      </c>
    </row>
    <row r="282">
      <c r="A282" s="7" t="s">
        <v>1163</v>
      </c>
      <c r="B282" s="8" t="s">
        <v>1164</v>
      </c>
      <c r="C282" s="9" t="s">
        <v>1165</v>
      </c>
      <c r="D282" s="9" t="s">
        <v>891</v>
      </c>
      <c r="E282" s="10" t="s">
        <v>53</v>
      </c>
      <c r="F282" s="11" t="s">
        <v>504</v>
      </c>
      <c r="G282" s="12" t="s">
        <v>32</v>
      </c>
      <c r="H282" s="12" t="s">
        <v>32</v>
      </c>
      <c r="I282" s="19" t="s">
        <v>32</v>
      </c>
      <c r="J282" s="13" t="s">
        <v>32</v>
      </c>
      <c r="K282" s="14" t="s">
        <v>46</v>
      </c>
      <c r="L282" s="14" t="s">
        <v>55</v>
      </c>
      <c r="M282" s="14" t="s">
        <v>35</v>
      </c>
      <c r="N282" s="15" t="s">
        <v>36</v>
      </c>
      <c r="O282" s="14" t="s">
        <v>95</v>
      </c>
      <c r="P282" s="14" t="s">
        <v>36</v>
      </c>
      <c r="Q282" s="14" t="s">
        <v>37</v>
      </c>
      <c r="R282" s="14" t="s">
        <v>36</v>
      </c>
      <c r="S282" s="14" t="s">
        <v>95</v>
      </c>
      <c r="T282" s="14">
        <f t="shared" si="1"/>
        <v>0</v>
      </c>
      <c r="U282" s="14">
        <f t="shared" si="2"/>
        <v>0</v>
      </c>
      <c r="V282" s="14">
        <f t="shared" si="3"/>
        <v>4</v>
      </c>
      <c r="W282" s="16">
        <f t="shared" si="4"/>
        <v>1</v>
      </c>
      <c r="X282" s="14" t="str">
        <f t="shared" si="5"/>
        <v>Hate Speech</v>
      </c>
      <c r="Y282" s="17">
        <f t="shared" si="6"/>
        <v>2.309401077</v>
      </c>
    </row>
    <row r="283">
      <c r="A283" s="7" t="s">
        <v>1166</v>
      </c>
      <c r="B283" s="8" t="s">
        <v>1167</v>
      </c>
      <c r="C283" s="9" t="s">
        <v>1168</v>
      </c>
      <c r="D283" s="9" t="s">
        <v>274</v>
      </c>
      <c r="E283" s="10" t="s">
        <v>110</v>
      </c>
      <c r="F283" s="11" t="s">
        <v>1169</v>
      </c>
      <c r="G283" s="12" t="s">
        <v>31</v>
      </c>
      <c r="H283" s="12" t="s">
        <v>31</v>
      </c>
      <c r="I283" s="19" t="s">
        <v>32</v>
      </c>
      <c r="J283" s="13" t="s">
        <v>32</v>
      </c>
      <c r="K283" s="14" t="s">
        <v>46</v>
      </c>
      <c r="L283" s="14" t="s">
        <v>61</v>
      </c>
      <c r="M283" s="14" t="s">
        <v>47</v>
      </c>
      <c r="N283" s="15" t="s">
        <v>49</v>
      </c>
      <c r="O283" s="14" t="s">
        <v>77</v>
      </c>
      <c r="P283" s="14" t="s">
        <v>49</v>
      </c>
      <c r="Q283" s="14" t="s">
        <v>77</v>
      </c>
      <c r="R283" s="14" t="s">
        <v>36</v>
      </c>
      <c r="S283" s="14" t="s">
        <v>77</v>
      </c>
      <c r="T283" s="14">
        <f t="shared" si="1"/>
        <v>0</v>
      </c>
      <c r="U283" s="14">
        <f t="shared" si="2"/>
        <v>2</v>
      </c>
      <c r="V283" s="14">
        <f t="shared" si="3"/>
        <v>2</v>
      </c>
      <c r="W283" s="16">
        <f t="shared" si="4"/>
        <v>1</v>
      </c>
      <c r="X283" s="14" t="b">
        <f t="shared" si="5"/>
        <v>0</v>
      </c>
      <c r="Y283" s="17">
        <f t="shared" si="6"/>
        <v>1.154700538</v>
      </c>
    </row>
    <row r="284">
      <c r="A284" s="7" t="s">
        <v>1170</v>
      </c>
      <c r="B284" s="8" t="s">
        <v>1171</v>
      </c>
      <c r="C284" s="9" t="s">
        <v>1172</v>
      </c>
      <c r="D284" s="9" t="s">
        <v>459</v>
      </c>
      <c r="E284" s="10" t="s">
        <v>54</v>
      </c>
      <c r="F284" s="11" t="s">
        <v>54</v>
      </c>
      <c r="G284" s="12" t="s">
        <v>31</v>
      </c>
      <c r="H284" s="12" t="s">
        <v>31</v>
      </c>
      <c r="I284" s="19" t="s">
        <v>32</v>
      </c>
      <c r="J284" s="13" t="s">
        <v>32</v>
      </c>
      <c r="K284" s="14" t="s">
        <v>46</v>
      </c>
      <c r="L284" s="14" t="s">
        <v>33</v>
      </c>
      <c r="M284" s="14" t="s">
        <v>35</v>
      </c>
      <c r="N284" s="15" t="s">
        <v>36</v>
      </c>
      <c r="O284" s="14" t="s">
        <v>37</v>
      </c>
      <c r="P284" s="14" t="s">
        <v>36</v>
      </c>
      <c r="Q284" s="14" t="s">
        <v>37</v>
      </c>
      <c r="R284" s="14" t="s">
        <v>36</v>
      </c>
      <c r="S284" s="14" t="s">
        <v>37</v>
      </c>
      <c r="T284" s="14">
        <f t="shared" si="1"/>
        <v>0</v>
      </c>
      <c r="U284" s="14">
        <f t="shared" si="2"/>
        <v>2</v>
      </c>
      <c r="V284" s="14">
        <f t="shared" si="3"/>
        <v>2</v>
      </c>
      <c r="W284" s="16">
        <f t="shared" si="4"/>
        <v>1</v>
      </c>
      <c r="X284" s="14" t="b">
        <f t="shared" si="5"/>
        <v>0</v>
      </c>
      <c r="Y284" s="17">
        <f t="shared" si="6"/>
        <v>1.154700538</v>
      </c>
    </row>
    <row r="285">
      <c r="A285" s="7" t="s">
        <v>1173</v>
      </c>
      <c r="B285" s="8" t="s">
        <v>1174</v>
      </c>
      <c r="C285" s="9" t="s">
        <v>1175</v>
      </c>
      <c r="D285" s="9" t="s">
        <v>42</v>
      </c>
      <c r="E285" s="24"/>
      <c r="F285" s="18" t="s">
        <v>44</v>
      </c>
      <c r="G285" s="12" t="s">
        <v>45</v>
      </c>
      <c r="H285" s="12" t="s">
        <v>45</v>
      </c>
      <c r="I285" s="12" t="s">
        <v>45</v>
      </c>
      <c r="J285" s="13" t="s">
        <v>45</v>
      </c>
      <c r="K285" s="14" t="s">
        <v>46</v>
      </c>
      <c r="L285" s="14" t="s">
        <v>34</v>
      </c>
      <c r="M285" s="14" t="s">
        <v>35</v>
      </c>
      <c r="N285" s="15" t="s">
        <v>48</v>
      </c>
      <c r="O285" s="14" t="s">
        <v>283</v>
      </c>
      <c r="P285" s="14" t="s">
        <v>49</v>
      </c>
      <c r="Q285" s="14" t="s">
        <v>283</v>
      </c>
      <c r="R285" s="14" t="s">
        <v>48</v>
      </c>
      <c r="S285" s="14" t="s">
        <v>42</v>
      </c>
      <c r="T285" s="14">
        <f t="shared" si="1"/>
        <v>4</v>
      </c>
      <c r="U285" s="14">
        <f t="shared" si="2"/>
        <v>0</v>
      </c>
      <c r="V285" s="14">
        <f t="shared" si="3"/>
        <v>0</v>
      </c>
      <c r="W285" s="16">
        <f t="shared" si="4"/>
        <v>1</v>
      </c>
      <c r="X285" s="14" t="str">
        <f t="shared" si="5"/>
        <v>Normal</v>
      </c>
      <c r="Y285" s="17">
        <f t="shared" si="6"/>
        <v>2.309401077</v>
      </c>
    </row>
    <row r="286">
      <c r="A286" s="7" t="s">
        <v>1176</v>
      </c>
      <c r="B286" s="8" t="s">
        <v>1177</v>
      </c>
      <c r="C286" s="9" t="s">
        <v>1178</v>
      </c>
      <c r="D286" s="9" t="s">
        <v>459</v>
      </c>
      <c r="E286" s="10" t="s">
        <v>53</v>
      </c>
      <c r="F286" s="18" t="s">
        <v>44</v>
      </c>
      <c r="G286" s="12" t="s">
        <v>31</v>
      </c>
      <c r="H286" s="12" t="s">
        <v>31</v>
      </c>
      <c r="I286" s="19" t="s">
        <v>32</v>
      </c>
      <c r="J286" s="13" t="s">
        <v>31</v>
      </c>
      <c r="K286" s="14" t="s">
        <v>46</v>
      </c>
      <c r="L286" s="14" t="s">
        <v>55</v>
      </c>
      <c r="M286" s="14" t="s">
        <v>47</v>
      </c>
      <c r="N286" s="15" t="s">
        <v>48</v>
      </c>
      <c r="O286" s="14" t="s">
        <v>37</v>
      </c>
      <c r="P286" s="14" t="s">
        <v>48</v>
      </c>
      <c r="Q286" s="14" t="s">
        <v>42</v>
      </c>
      <c r="R286" s="14" t="s">
        <v>36</v>
      </c>
      <c r="S286" s="14" t="s">
        <v>62</v>
      </c>
      <c r="T286" s="14">
        <f t="shared" si="1"/>
        <v>0</v>
      </c>
      <c r="U286" s="14">
        <f t="shared" si="2"/>
        <v>3</v>
      </c>
      <c r="V286" s="14">
        <f t="shared" si="3"/>
        <v>1</v>
      </c>
      <c r="W286" s="16">
        <f t="shared" si="4"/>
        <v>1</v>
      </c>
      <c r="X286" s="14" t="str">
        <f t="shared" si="5"/>
        <v>Offensive</v>
      </c>
      <c r="Y286" s="17">
        <f t="shared" si="6"/>
        <v>1.527525232</v>
      </c>
    </row>
    <row r="287">
      <c r="A287" s="7" t="s">
        <v>1179</v>
      </c>
      <c r="B287" s="8" t="s">
        <v>1180</v>
      </c>
      <c r="C287" s="9" t="s">
        <v>1181</v>
      </c>
      <c r="D287" s="9" t="s">
        <v>543</v>
      </c>
      <c r="E287" s="10" t="s">
        <v>217</v>
      </c>
      <c r="F287" s="11" t="s">
        <v>110</v>
      </c>
      <c r="G287" s="12" t="s">
        <v>31</v>
      </c>
      <c r="H287" s="12" t="s">
        <v>45</v>
      </c>
      <c r="I287" s="19" t="s">
        <v>31</v>
      </c>
      <c r="J287" s="13" t="s">
        <v>31</v>
      </c>
      <c r="K287" s="14" t="s">
        <v>46</v>
      </c>
      <c r="L287" s="14" t="s">
        <v>61</v>
      </c>
      <c r="M287" s="14" t="s">
        <v>35</v>
      </c>
      <c r="N287" s="15" t="s">
        <v>49</v>
      </c>
      <c r="O287" s="14" t="s">
        <v>105</v>
      </c>
      <c r="P287" s="14" t="s">
        <v>49</v>
      </c>
      <c r="Q287" s="14" t="s">
        <v>42</v>
      </c>
      <c r="R287" s="14" t="s">
        <v>49</v>
      </c>
      <c r="S287" s="14" t="s">
        <v>42</v>
      </c>
      <c r="T287" s="14">
        <f t="shared" si="1"/>
        <v>1</v>
      </c>
      <c r="U287" s="14">
        <f t="shared" si="2"/>
        <v>3</v>
      </c>
      <c r="V287" s="14">
        <f t="shared" si="3"/>
        <v>0</v>
      </c>
      <c r="W287" s="16">
        <f t="shared" si="4"/>
        <v>1</v>
      </c>
      <c r="X287" s="14" t="str">
        <f t="shared" si="5"/>
        <v>Offensive</v>
      </c>
      <c r="Y287" s="17">
        <f t="shared" si="6"/>
        <v>1.527525232</v>
      </c>
    </row>
    <row r="288">
      <c r="A288" s="7" t="s">
        <v>1182</v>
      </c>
      <c r="B288" s="8" t="s">
        <v>1183</v>
      </c>
      <c r="C288" s="9" t="s">
        <v>1184</v>
      </c>
      <c r="D288" s="9" t="s">
        <v>42</v>
      </c>
      <c r="E288" s="10" t="s">
        <v>54</v>
      </c>
      <c r="F288" s="11" t="s">
        <v>54</v>
      </c>
      <c r="G288" s="12" t="s">
        <v>45</v>
      </c>
      <c r="H288" s="12" t="s">
        <v>182</v>
      </c>
      <c r="I288" s="19" t="s">
        <v>32</v>
      </c>
      <c r="J288" s="13" t="s">
        <v>32</v>
      </c>
      <c r="K288" s="14" t="s">
        <v>46</v>
      </c>
      <c r="L288" s="14" t="s">
        <v>33</v>
      </c>
      <c r="M288" s="14" t="s">
        <v>35</v>
      </c>
      <c r="N288" s="15" t="s">
        <v>48</v>
      </c>
      <c r="O288" s="14" t="s">
        <v>42</v>
      </c>
      <c r="P288" s="14" t="s">
        <v>48</v>
      </c>
      <c r="Q288" s="14" t="s">
        <v>42</v>
      </c>
      <c r="R288" s="14" t="s">
        <v>48</v>
      </c>
      <c r="S288" s="14" t="s">
        <v>42</v>
      </c>
      <c r="T288" s="14">
        <f t="shared" si="1"/>
        <v>2</v>
      </c>
      <c r="U288" s="14">
        <f t="shared" si="2"/>
        <v>0</v>
      </c>
      <c r="V288" s="14">
        <f t="shared" si="3"/>
        <v>2</v>
      </c>
      <c r="W288" s="16">
        <f t="shared" si="4"/>
        <v>1</v>
      </c>
      <c r="X288" s="14" t="b">
        <f t="shared" si="5"/>
        <v>0</v>
      </c>
      <c r="Y288" s="17">
        <f t="shared" si="6"/>
        <v>1.154700538</v>
      </c>
    </row>
    <row r="289">
      <c r="A289" s="7" t="s">
        <v>1185</v>
      </c>
      <c r="B289" s="8" t="s">
        <v>1186</v>
      </c>
      <c r="C289" s="9" t="s">
        <v>1187</v>
      </c>
      <c r="D289" s="9" t="s">
        <v>42</v>
      </c>
      <c r="E289" s="10" t="s">
        <v>83</v>
      </c>
      <c r="F289" s="18" t="s">
        <v>44</v>
      </c>
      <c r="G289" s="12" t="s">
        <v>45</v>
      </c>
      <c r="H289" s="12" t="s">
        <v>45</v>
      </c>
      <c r="I289" s="12" t="s">
        <v>31</v>
      </c>
      <c r="J289" s="13" t="s">
        <v>45</v>
      </c>
      <c r="K289" s="14" t="s">
        <v>46</v>
      </c>
      <c r="L289" s="14" t="s">
        <v>34</v>
      </c>
      <c r="M289" s="14" t="s">
        <v>35</v>
      </c>
      <c r="N289" s="15" t="s">
        <v>48</v>
      </c>
      <c r="O289" s="14" t="s">
        <v>471</v>
      </c>
      <c r="P289" s="14" t="s">
        <v>49</v>
      </c>
      <c r="Q289" s="14" t="s">
        <v>83</v>
      </c>
      <c r="R289" s="14" t="s">
        <v>48</v>
      </c>
      <c r="S289" s="14" t="s">
        <v>83</v>
      </c>
      <c r="T289" s="14">
        <f t="shared" si="1"/>
        <v>3</v>
      </c>
      <c r="U289" s="14">
        <f t="shared" si="2"/>
        <v>1</v>
      </c>
      <c r="V289" s="14">
        <f t="shared" si="3"/>
        <v>0</v>
      </c>
      <c r="W289" s="16">
        <f t="shared" si="4"/>
        <v>1</v>
      </c>
      <c r="X289" s="14" t="str">
        <f t="shared" si="5"/>
        <v>Normal</v>
      </c>
      <c r="Y289" s="17">
        <f t="shared" si="6"/>
        <v>1.527525232</v>
      </c>
    </row>
    <row r="290">
      <c r="A290" s="7" t="s">
        <v>1188</v>
      </c>
      <c r="B290" s="8" t="s">
        <v>1189</v>
      </c>
      <c r="C290" s="9" t="s">
        <v>1190</v>
      </c>
      <c r="D290" s="9" t="s">
        <v>225</v>
      </c>
      <c r="E290" s="10" t="s">
        <v>440</v>
      </c>
      <c r="F290" s="11" t="s">
        <v>155</v>
      </c>
      <c r="G290" s="12" t="s">
        <v>31</v>
      </c>
      <c r="H290" s="12" t="s">
        <v>31</v>
      </c>
      <c r="I290" s="19" t="s">
        <v>32</v>
      </c>
      <c r="J290" s="13" t="s">
        <v>32</v>
      </c>
      <c r="K290" s="14" t="s">
        <v>46</v>
      </c>
      <c r="L290" s="14" t="s">
        <v>55</v>
      </c>
      <c r="M290" s="14" t="s">
        <v>35</v>
      </c>
      <c r="N290" s="15" t="s">
        <v>49</v>
      </c>
      <c r="O290" s="14" t="s">
        <v>443</v>
      </c>
      <c r="P290" s="14" t="s">
        <v>49</v>
      </c>
      <c r="Q290" s="14" t="s">
        <v>43</v>
      </c>
      <c r="R290" s="14" t="s">
        <v>36</v>
      </c>
      <c r="S290" s="14" t="s">
        <v>1191</v>
      </c>
      <c r="T290" s="14">
        <f t="shared" si="1"/>
        <v>0</v>
      </c>
      <c r="U290" s="14">
        <f t="shared" si="2"/>
        <v>2</v>
      </c>
      <c r="V290" s="14">
        <f t="shared" si="3"/>
        <v>2</v>
      </c>
      <c r="W290" s="16">
        <f t="shared" si="4"/>
        <v>1</v>
      </c>
      <c r="X290" s="14" t="b">
        <f t="shared" si="5"/>
        <v>0</v>
      </c>
      <c r="Y290" s="17">
        <f t="shared" si="6"/>
        <v>1.154700538</v>
      </c>
    </row>
    <row r="291">
      <c r="A291" s="7" t="s">
        <v>1192</v>
      </c>
      <c r="B291" s="8" t="s">
        <v>1193</v>
      </c>
      <c r="C291" s="9" t="s">
        <v>1194</v>
      </c>
      <c r="D291" s="9" t="s">
        <v>72</v>
      </c>
      <c r="E291" s="10" t="s">
        <v>84</v>
      </c>
      <c r="F291" s="11" t="s">
        <v>73</v>
      </c>
      <c r="G291" s="12" t="s">
        <v>31</v>
      </c>
      <c r="H291" s="12" t="s">
        <v>31</v>
      </c>
      <c r="I291" s="19" t="s">
        <v>32</v>
      </c>
      <c r="J291" s="13" t="s">
        <v>32</v>
      </c>
      <c r="K291" s="14" t="s">
        <v>46</v>
      </c>
      <c r="L291" s="14" t="s">
        <v>61</v>
      </c>
      <c r="M291" s="14" t="s">
        <v>35</v>
      </c>
      <c r="N291" s="15" t="s">
        <v>36</v>
      </c>
      <c r="O291" s="14" t="s">
        <v>72</v>
      </c>
      <c r="P291" s="14" t="s">
        <v>36</v>
      </c>
      <c r="Q291" s="14" t="s">
        <v>72</v>
      </c>
      <c r="R291" s="14" t="s">
        <v>36</v>
      </c>
      <c r="S291" s="14" t="s">
        <v>72</v>
      </c>
      <c r="T291" s="14">
        <f t="shared" si="1"/>
        <v>0</v>
      </c>
      <c r="U291" s="14">
        <f t="shared" si="2"/>
        <v>2</v>
      </c>
      <c r="V291" s="14">
        <f t="shared" si="3"/>
        <v>2</v>
      </c>
      <c r="W291" s="16">
        <f t="shared" si="4"/>
        <v>1</v>
      </c>
      <c r="X291" s="14" t="b">
        <f t="shared" si="5"/>
        <v>0</v>
      </c>
      <c r="Y291" s="17">
        <f t="shared" si="6"/>
        <v>1.154700538</v>
      </c>
    </row>
    <row r="292">
      <c r="A292" s="7" t="s">
        <v>1195</v>
      </c>
      <c r="B292" s="8" t="s">
        <v>1196</v>
      </c>
      <c r="C292" s="9" t="s">
        <v>1197</v>
      </c>
      <c r="D292" s="9" t="s">
        <v>459</v>
      </c>
      <c r="E292" s="10" t="s">
        <v>181</v>
      </c>
      <c r="F292" s="18" t="s">
        <v>44</v>
      </c>
      <c r="G292" s="12" t="s">
        <v>45</v>
      </c>
      <c r="H292" s="12" t="s">
        <v>45</v>
      </c>
      <c r="I292" s="19" t="s">
        <v>31</v>
      </c>
      <c r="J292" s="13" t="s">
        <v>45</v>
      </c>
      <c r="K292" s="14" t="s">
        <v>46</v>
      </c>
      <c r="L292" s="14" t="s">
        <v>33</v>
      </c>
      <c r="M292" s="14" t="s">
        <v>47</v>
      </c>
      <c r="N292" s="15" t="s">
        <v>48</v>
      </c>
      <c r="O292" s="14" t="s">
        <v>42</v>
      </c>
      <c r="P292" s="14" t="s">
        <v>48</v>
      </c>
      <c r="Q292" s="14" t="s">
        <v>42</v>
      </c>
      <c r="R292" s="14" t="s">
        <v>48</v>
      </c>
      <c r="S292" s="14" t="s">
        <v>42</v>
      </c>
      <c r="T292" s="14">
        <f t="shared" si="1"/>
        <v>3</v>
      </c>
      <c r="U292" s="14">
        <f t="shared" si="2"/>
        <v>1</v>
      </c>
      <c r="V292" s="14">
        <f t="shared" si="3"/>
        <v>0</v>
      </c>
      <c r="W292" s="16">
        <f t="shared" si="4"/>
        <v>1</v>
      </c>
      <c r="X292" s="14" t="str">
        <f t="shared" si="5"/>
        <v>Normal</v>
      </c>
      <c r="Y292" s="17">
        <f t="shared" si="6"/>
        <v>1.527525232</v>
      </c>
    </row>
    <row r="293">
      <c r="A293" s="7" t="s">
        <v>1198</v>
      </c>
      <c r="B293" s="8" t="s">
        <v>1199</v>
      </c>
      <c r="C293" s="9" t="s">
        <v>1200</v>
      </c>
      <c r="D293" s="9" t="s">
        <v>459</v>
      </c>
      <c r="E293" s="10" t="s">
        <v>53</v>
      </c>
      <c r="F293" s="11" t="s">
        <v>54</v>
      </c>
      <c r="G293" s="12" t="s">
        <v>31</v>
      </c>
      <c r="H293" s="12" t="s">
        <v>31</v>
      </c>
      <c r="I293" s="12" t="s">
        <v>31</v>
      </c>
      <c r="J293" s="13" t="s">
        <v>31</v>
      </c>
      <c r="K293" s="14" t="s">
        <v>46</v>
      </c>
      <c r="L293" s="14" t="s">
        <v>34</v>
      </c>
      <c r="M293" s="14" t="s">
        <v>35</v>
      </c>
      <c r="N293" s="15" t="s">
        <v>49</v>
      </c>
      <c r="O293" s="14" t="s">
        <v>37</v>
      </c>
      <c r="P293" s="14" t="s">
        <v>49</v>
      </c>
      <c r="Q293" s="14" t="s">
        <v>693</v>
      </c>
      <c r="R293" s="14" t="s">
        <v>49</v>
      </c>
      <c r="S293" s="14" t="s">
        <v>37</v>
      </c>
      <c r="T293" s="14">
        <f t="shared" si="1"/>
        <v>0</v>
      </c>
      <c r="U293" s="14">
        <f t="shared" si="2"/>
        <v>4</v>
      </c>
      <c r="V293" s="14">
        <f t="shared" si="3"/>
        <v>0</v>
      </c>
      <c r="W293" s="16">
        <f t="shared" si="4"/>
        <v>1</v>
      </c>
      <c r="X293" s="14" t="str">
        <f t="shared" si="5"/>
        <v>Offensive</v>
      </c>
      <c r="Y293" s="17">
        <f t="shared" si="6"/>
        <v>2.309401077</v>
      </c>
    </row>
    <row r="294">
      <c r="A294" s="7" t="s">
        <v>1201</v>
      </c>
      <c r="B294" s="8" t="s">
        <v>1202</v>
      </c>
      <c r="C294" s="9" t="s">
        <v>1203</v>
      </c>
      <c r="D294" s="9" t="s">
        <v>42</v>
      </c>
      <c r="E294" s="10" t="s">
        <v>374</v>
      </c>
      <c r="F294" s="18" t="s">
        <v>44</v>
      </c>
      <c r="G294" s="12" t="s">
        <v>45</v>
      </c>
      <c r="H294" s="12" t="s">
        <v>31</v>
      </c>
      <c r="I294" s="19" t="s">
        <v>45</v>
      </c>
      <c r="J294" s="13" t="s">
        <v>45</v>
      </c>
      <c r="K294" s="14" t="s">
        <v>46</v>
      </c>
      <c r="L294" s="14" t="s">
        <v>55</v>
      </c>
      <c r="M294" s="14" t="s">
        <v>47</v>
      </c>
      <c r="N294" s="15" t="s">
        <v>49</v>
      </c>
      <c r="O294" s="14" t="s">
        <v>283</v>
      </c>
      <c r="P294" s="14" t="s">
        <v>49</v>
      </c>
      <c r="Q294" s="14" t="s">
        <v>283</v>
      </c>
      <c r="R294" s="14" t="s">
        <v>49</v>
      </c>
      <c r="S294" s="14" t="s">
        <v>283</v>
      </c>
      <c r="T294" s="14">
        <f t="shared" si="1"/>
        <v>3</v>
      </c>
      <c r="U294" s="14">
        <f t="shared" si="2"/>
        <v>1</v>
      </c>
      <c r="V294" s="14">
        <f t="shared" si="3"/>
        <v>0</v>
      </c>
      <c r="W294" s="16">
        <f t="shared" si="4"/>
        <v>1</v>
      </c>
      <c r="X294" s="14" t="str">
        <f t="shared" si="5"/>
        <v>Normal</v>
      </c>
      <c r="Y294" s="17">
        <f t="shared" si="6"/>
        <v>1.527525232</v>
      </c>
    </row>
    <row r="295">
      <c r="A295" s="7" t="s">
        <v>1204</v>
      </c>
      <c r="B295" s="8" t="s">
        <v>1205</v>
      </c>
      <c r="C295" s="9" t="s">
        <v>1206</v>
      </c>
      <c r="D295" s="9" t="s">
        <v>83</v>
      </c>
      <c r="E295" s="10" t="s">
        <v>581</v>
      </c>
      <c r="F295" s="11" t="s">
        <v>121</v>
      </c>
      <c r="G295" s="12" t="s">
        <v>31</v>
      </c>
      <c r="H295" s="12" t="s">
        <v>31</v>
      </c>
      <c r="I295" s="19" t="s">
        <v>32</v>
      </c>
      <c r="J295" s="13" t="s">
        <v>32</v>
      </c>
      <c r="K295" s="14" t="s">
        <v>46</v>
      </c>
      <c r="L295" s="14" t="s">
        <v>61</v>
      </c>
      <c r="M295" s="14" t="s">
        <v>47</v>
      </c>
      <c r="N295" s="15" t="s">
        <v>49</v>
      </c>
      <c r="O295" s="14" t="s">
        <v>83</v>
      </c>
      <c r="P295" s="14" t="s">
        <v>36</v>
      </c>
      <c r="Q295" s="14" t="s">
        <v>83</v>
      </c>
      <c r="R295" s="14" t="s">
        <v>49</v>
      </c>
      <c r="S295" s="14" t="s">
        <v>83</v>
      </c>
      <c r="T295" s="14">
        <f t="shared" si="1"/>
        <v>0</v>
      </c>
      <c r="U295" s="14">
        <f t="shared" si="2"/>
        <v>2</v>
      </c>
      <c r="V295" s="14">
        <f t="shared" si="3"/>
        <v>2</v>
      </c>
      <c r="W295" s="16">
        <f t="shared" si="4"/>
        <v>1</v>
      </c>
      <c r="X295" s="14" t="b">
        <f t="shared" si="5"/>
        <v>0</v>
      </c>
      <c r="Y295" s="17">
        <f t="shared" si="6"/>
        <v>1.154700538</v>
      </c>
    </row>
    <row r="296">
      <c r="A296" s="7" t="s">
        <v>1207</v>
      </c>
      <c r="B296" s="8" t="s">
        <v>1208</v>
      </c>
      <c r="C296" s="9" t="s">
        <v>1209</v>
      </c>
      <c r="D296" s="9" t="s">
        <v>83</v>
      </c>
      <c r="E296" s="10" t="s">
        <v>1210</v>
      </c>
      <c r="F296" s="11" t="s">
        <v>464</v>
      </c>
      <c r="G296" s="12" t="s">
        <v>45</v>
      </c>
      <c r="H296" s="12" t="s">
        <v>31</v>
      </c>
      <c r="I296" s="19" t="s">
        <v>32</v>
      </c>
      <c r="J296" s="13" t="s">
        <v>31</v>
      </c>
      <c r="K296" s="14" t="s">
        <v>46</v>
      </c>
      <c r="L296" s="14" t="s">
        <v>33</v>
      </c>
      <c r="M296" s="14" t="s">
        <v>47</v>
      </c>
      <c r="N296" s="15" t="s">
        <v>48</v>
      </c>
      <c r="O296" s="14" t="s">
        <v>42</v>
      </c>
      <c r="P296" s="14" t="s">
        <v>48</v>
      </c>
      <c r="Q296" s="14" t="s">
        <v>42</v>
      </c>
      <c r="R296" s="14" t="s">
        <v>48</v>
      </c>
      <c r="S296" s="14" t="s">
        <v>42</v>
      </c>
      <c r="T296" s="14">
        <f t="shared" si="1"/>
        <v>1</v>
      </c>
      <c r="U296" s="14">
        <f t="shared" si="2"/>
        <v>2</v>
      </c>
      <c r="V296" s="14">
        <f t="shared" si="3"/>
        <v>1</v>
      </c>
      <c r="W296" s="16">
        <f t="shared" si="4"/>
        <v>1</v>
      </c>
      <c r="X296" s="14" t="b">
        <f t="shared" si="5"/>
        <v>0</v>
      </c>
      <c r="Y296" s="17">
        <f t="shared" si="6"/>
        <v>0.5773502692</v>
      </c>
    </row>
    <row r="297">
      <c r="A297" s="7" t="s">
        <v>1211</v>
      </c>
      <c r="B297" s="8" t="s">
        <v>1212</v>
      </c>
      <c r="C297" s="9" t="s">
        <v>1213</v>
      </c>
      <c r="D297" s="9" t="s">
        <v>614</v>
      </c>
      <c r="E297" s="10" t="s">
        <v>1214</v>
      </c>
      <c r="F297" s="11" t="s">
        <v>615</v>
      </c>
      <c r="G297" s="12" t="s">
        <v>31</v>
      </c>
      <c r="H297" s="12" t="s">
        <v>31</v>
      </c>
      <c r="I297" s="12" t="s">
        <v>32</v>
      </c>
      <c r="J297" s="13" t="s">
        <v>32</v>
      </c>
      <c r="K297" s="14" t="s">
        <v>46</v>
      </c>
      <c r="L297" s="14" t="s">
        <v>34</v>
      </c>
      <c r="M297" s="14" t="s">
        <v>35</v>
      </c>
      <c r="N297" s="15" t="s">
        <v>36</v>
      </c>
      <c r="O297" s="14" t="s">
        <v>598</v>
      </c>
      <c r="P297" s="14" t="s">
        <v>49</v>
      </c>
      <c r="Q297" s="14" t="s">
        <v>598</v>
      </c>
      <c r="R297" s="14" t="s">
        <v>36</v>
      </c>
      <c r="S297" s="14" t="s">
        <v>598</v>
      </c>
      <c r="T297" s="14">
        <f t="shared" si="1"/>
        <v>0</v>
      </c>
      <c r="U297" s="14">
        <f t="shared" si="2"/>
        <v>2</v>
      </c>
      <c r="V297" s="14">
        <f t="shared" si="3"/>
        <v>2</v>
      </c>
      <c r="W297" s="16">
        <f t="shared" si="4"/>
        <v>1</v>
      </c>
      <c r="X297" s="14" t="b">
        <f t="shared" si="5"/>
        <v>0</v>
      </c>
      <c r="Y297" s="17">
        <f t="shared" si="6"/>
        <v>1.154700538</v>
      </c>
    </row>
    <row r="298">
      <c r="A298" s="7" t="s">
        <v>1215</v>
      </c>
      <c r="B298" s="8" t="s">
        <v>1216</v>
      </c>
      <c r="C298" s="9" t="s">
        <v>1217</v>
      </c>
      <c r="D298" s="9" t="s">
        <v>42</v>
      </c>
      <c r="E298" s="10" t="s">
        <v>225</v>
      </c>
      <c r="F298" s="11" t="s">
        <v>43</v>
      </c>
      <c r="G298" s="12" t="s">
        <v>45</v>
      </c>
      <c r="H298" s="12" t="s">
        <v>45</v>
      </c>
      <c r="I298" s="19" t="s">
        <v>31</v>
      </c>
      <c r="J298" s="13" t="s">
        <v>31</v>
      </c>
      <c r="K298" s="14" t="s">
        <v>46</v>
      </c>
      <c r="L298" s="14" t="s">
        <v>55</v>
      </c>
      <c r="M298" s="14" t="s">
        <v>47</v>
      </c>
      <c r="N298" s="15" t="s">
        <v>49</v>
      </c>
      <c r="O298" s="14" t="s">
        <v>43</v>
      </c>
      <c r="P298" s="14" t="s">
        <v>48</v>
      </c>
      <c r="Q298" s="14" t="s">
        <v>42</v>
      </c>
      <c r="R298" s="14" t="s">
        <v>49</v>
      </c>
      <c r="S298" s="14" t="s">
        <v>43</v>
      </c>
      <c r="T298" s="14">
        <f t="shared" si="1"/>
        <v>2</v>
      </c>
      <c r="U298" s="14">
        <f t="shared" si="2"/>
        <v>2</v>
      </c>
      <c r="V298" s="14">
        <f t="shared" si="3"/>
        <v>0</v>
      </c>
      <c r="W298" s="16">
        <f t="shared" si="4"/>
        <v>1</v>
      </c>
      <c r="X298" s="14" t="b">
        <f t="shared" si="5"/>
        <v>0</v>
      </c>
      <c r="Y298" s="17">
        <f t="shared" si="6"/>
        <v>1.154700538</v>
      </c>
    </row>
    <row r="299">
      <c r="A299" s="7" t="s">
        <v>1218</v>
      </c>
      <c r="B299" s="8" t="s">
        <v>1219</v>
      </c>
      <c r="C299" s="9" t="s">
        <v>1220</v>
      </c>
      <c r="D299" s="9" t="s">
        <v>1221</v>
      </c>
      <c r="E299" s="10" t="s">
        <v>84</v>
      </c>
      <c r="F299" s="11" t="s">
        <v>73</v>
      </c>
      <c r="G299" s="12" t="s">
        <v>31</v>
      </c>
      <c r="H299" s="12" t="s">
        <v>31</v>
      </c>
      <c r="I299" s="19" t="s">
        <v>32</v>
      </c>
      <c r="J299" s="13" t="s">
        <v>32</v>
      </c>
      <c r="K299" s="14" t="s">
        <v>46</v>
      </c>
      <c r="L299" s="14" t="s">
        <v>61</v>
      </c>
      <c r="M299" s="14" t="s">
        <v>35</v>
      </c>
      <c r="N299" s="15" t="s">
        <v>49</v>
      </c>
      <c r="O299" s="14" t="s">
        <v>531</v>
      </c>
      <c r="P299" s="14" t="s">
        <v>36</v>
      </c>
      <c r="Q299" s="14" t="s">
        <v>598</v>
      </c>
      <c r="R299" s="14" t="s">
        <v>49</v>
      </c>
      <c r="S299" s="14" t="s">
        <v>598</v>
      </c>
      <c r="T299" s="14">
        <f t="shared" si="1"/>
        <v>0</v>
      </c>
      <c r="U299" s="14">
        <f t="shared" si="2"/>
        <v>2</v>
      </c>
      <c r="V299" s="14">
        <f t="shared" si="3"/>
        <v>2</v>
      </c>
      <c r="W299" s="16">
        <f t="shared" si="4"/>
        <v>1</v>
      </c>
      <c r="X299" s="14" t="b">
        <f t="shared" si="5"/>
        <v>0</v>
      </c>
      <c r="Y299" s="17">
        <f t="shared" si="6"/>
        <v>1.154700538</v>
      </c>
    </row>
    <row r="300">
      <c r="A300" s="7" t="s">
        <v>1222</v>
      </c>
      <c r="B300" s="8" t="s">
        <v>1223</v>
      </c>
      <c r="C300" s="9" t="s">
        <v>1224</v>
      </c>
      <c r="D300" s="9" t="s">
        <v>1067</v>
      </c>
      <c r="E300" s="10" t="s">
        <v>504</v>
      </c>
      <c r="F300" s="18" t="s">
        <v>44</v>
      </c>
      <c r="G300" s="12" t="s">
        <v>31</v>
      </c>
      <c r="H300" s="12" t="s">
        <v>31</v>
      </c>
      <c r="I300" s="19" t="s">
        <v>32</v>
      </c>
      <c r="J300" s="13" t="s">
        <v>45</v>
      </c>
      <c r="K300" s="14" t="s">
        <v>46</v>
      </c>
      <c r="L300" s="14" t="s">
        <v>33</v>
      </c>
      <c r="M300" s="14" t="s">
        <v>35</v>
      </c>
      <c r="N300" s="15" t="s">
        <v>36</v>
      </c>
      <c r="O300" s="14" t="s">
        <v>95</v>
      </c>
      <c r="P300" s="14" t="s">
        <v>36</v>
      </c>
      <c r="Q300" s="14" t="s">
        <v>94</v>
      </c>
      <c r="R300" s="14" t="s">
        <v>36</v>
      </c>
      <c r="S300" s="14" t="s">
        <v>94</v>
      </c>
      <c r="T300" s="14">
        <f t="shared" si="1"/>
        <v>1</v>
      </c>
      <c r="U300" s="14">
        <f t="shared" si="2"/>
        <v>2</v>
      </c>
      <c r="V300" s="14">
        <f t="shared" si="3"/>
        <v>1</v>
      </c>
      <c r="W300" s="16">
        <f t="shared" si="4"/>
        <v>1</v>
      </c>
      <c r="X300" s="14" t="b">
        <f t="shared" si="5"/>
        <v>0</v>
      </c>
      <c r="Y300" s="17">
        <f t="shared" si="6"/>
        <v>0.5773502692</v>
      </c>
    </row>
    <row r="301">
      <c r="A301" s="7" t="s">
        <v>1225</v>
      </c>
      <c r="B301" s="8" t="s">
        <v>1226</v>
      </c>
      <c r="C301" s="9" t="s">
        <v>1227</v>
      </c>
      <c r="D301" s="9" t="s">
        <v>459</v>
      </c>
      <c r="E301" s="10" t="s">
        <v>53</v>
      </c>
      <c r="F301" s="11" t="s">
        <v>54</v>
      </c>
      <c r="G301" s="12" t="s">
        <v>32</v>
      </c>
      <c r="H301" s="12" t="s">
        <v>32</v>
      </c>
      <c r="I301" s="12" t="s">
        <v>32</v>
      </c>
      <c r="J301" s="13" t="s">
        <v>32</v>
      </c>
      <c r="K301" s="14" t="s">
        <v>46</v>
      </c>
      <c r="L301" s="14" t="s">
        <v>34</v>
      </c>
      <c r="M301" s="14" t="s">
        <v>35</v>
      </c>
      <c r="N301" s="15" t="s">
        <v>36</v>
      </c>
      <c r="O301" s="14" t="s">
        <v>37</v>
      </c>
      <c r="P301" s="14" t="s">
        <v>36</v>
      </c>
      <c r="Q301" s="14" t="s">
        <v>37</v>
      </c>
      <c r="R301" s="14" t="s">
        <v>36</v>
      </c>
      <c r="S301" s="14" t="s">
        <v>37</v>
      </c>
      <c r="T301" s="14">
        <f t="shared" si="1"/>
        <v>0</v>
      </c>
      <c r="U301" s="14">
        <f t="shared" si="2"/>
        <v>0</v>
      </c>
      <c r="V301" s="14">
        <f t="shared" si="3"/>
        <v>4</v>
      </c>
      <c r="W301" s="16">
        <f t="shared" si="4"/>
        <v>1</v>
      </c>
      <c r="X301" s="14" t="str">
        <f t="shared" si="5"/>
        <v>Hate Speech</v>
      </c>
      <c r="Y301" s="17">
        <f t="shared" si="6"/>
        <v>2.309401077</v>
      </c>
    </row>
    <row r="302">
      <c r="A302" s="7" t="s">
        <v>1228</v>
      </c>
      <c r="B302" s="8" t="s">
        <v>1229</v>
      </c>
      <c r="C302" s="9" t="s">
        <v>1230</v>
      </c>
      <c r="D302" s="9" t="s">
        <v>83</v>
      </c>
      <c r="E302" s="10" t="s">
        <v>1231</v>
      </c>
      <c r="F302" s="11" t="s">
        <v>121</v>
      </c>
      <c r="G302" s="12" t="s">
        <v>31</v>
      </c>
      <c r="H302" s="12" t="s">
        <v>45</v>
      </c>
      <c r="I302" s="19" t="s">
        <v>31</v>
      </c>
      <c r="J302" s="13" t="s">
        <v>31</v>
      </c>
      <c r="K302" s="14" t="s">
        <v>55</v>
      </c>
      <c r="L302" s="14" t="s">
        <v>61</v>
      </c>
      <c r="M302" s="14" t="s">
        <v>47</v>
      </c>
      <c r="N302" s="15" t="s">
        <v>49</v>
      </c>
      <c r="O302" s="14" t="s">
        <v>83</v>
      </c>
      <c r="P302" s="14" t="s">
        <v>49</v>
      </c>
      <c r="Q302" s="14" t="s">
        <v>83</v>
      </c>
      <c r="R302" s="14" t="s">
        <v>36</v>
      </c>
      <c r="S302" s="14" t="s">
        <v>83</v>
      </c>
      <c r="T302" s="14">
        <f t="shared" si="1"/>
        <v>1</v>
      </c>
      <c r="U302" s="14">
        <f t="shared" si="2"/>
        <v>3</v>
      </c>
      <c r="V302" s="14">
        <f t="shared" si="3"/>
        <v>0</v>
      </c>
      <c r="W302" s="16">
        <f t="shared" si="4"/>
        <v>1</v>
      </c>
      <c r="X302" s="14" t="str">
        <f t="shared" si="5"/>
        <v>Offensive</v>
      </c>
      <c r="Y302" s="17">
        <f t="shared" si="6"/>
        <v>1.527525232</v>
      </c>
    </row>
    <row r="303">
      <c r="A303" s="7" t="s">
        <v>1232</v>
      </c>
      <c r="B303" s="8" t="s">
        <v>1233</v>
      </c>
      <c r="C303" s="9" t="s">
        <v>1234</v>
      </c>
      <c r="D303" s="9" t="s">
        <v>225</v>
      </c>
      <c r="E303" s="10" t="s">
        <v>43</v>
      </c>
      <c r="F303" s="11" t="s">
        <v>43</v>
      </c>
      <c r="G303" s="12" t="s">
        <v>31</v>
      </c>
      <c r="H303" s="12" t="s">
        <v>31</v>
      </c>
      <c r="I303" s="19" t="s">
        <v>31</v>
      </c>
      <c r="J303" s="13" t="s">
        <v>31</v>
      </c>
      <c r="K303" s="14" t="s">
        <v>55</v>
      </c>
      <c r="L303" s="14" t="s">
        <v>33</v>
      </c>
      <c r="M303" s="14" t="s">
        <v>35</v>
      </c>
      <c r="N303" s="15" t="s">
        <v>49</v>
      </c>
      <c r="O303" s="14" t="s">
        <v>43</v>
      </c>
      <c r="P303" s="14" t="s">
        <v>49</v>
      </c>
      <c r="Q303" s="14" t="s">
        <v>42</v>
      </c>
      <c r="R303" s="14" t="s">
        <v>49</v>
      </c>
      <c r="S303" s="14" t="s">
        <v>43</v>
      </c>
      <c r="T303" s="14">
        <f t="shared" si="1"/>
        <v>0</v>
      </c>
      <c r="U303" s="14">
        <f t="shared" si="2"/>
        <v>4</v>
      </c>
      <c r="V303" s="14">
        <f t="shared" si="3"/>
        <v>0</v>
      </c>
      <c r="W303" s="16">
        <f t="shared" si="4"/>
        <v>1</v>
      </c>
      <c r="X303" s="14" t="str">
        <f t="shared" si="5"/>
        <v>Offensive</v>
      </c>
      <c r="Y303" s="17">
        <f t="shared" si="6"/>
        <v>2.309401077</v>
      </c>
    </row>
    <row r="304">
      <c r="A304" s="7" t="s">
        <v>1235</v>
      </c>
      <c r="B304" s="8" t="s">
        <v>1236</v>
      </c>
      <c r="C304" s="9" t="s">
        <v>1237</v>
      </c>
      <c r="D304" s="26" t="s">
        <v>42</v>
      </c>
      <c r="E304" s="10" t="s">
        <v>42</v>
      </c>
      <c r="F304" s="18" t="s">
        <v>44</v>
      </c>
      <c r="G304" s="12" t="s">
        <v>45</v>
      </c>
      <c r="H304" s="12" t="s">
        <v>45</v>
      </c>
      <c r="I304" s="12" t="s">
        <v>31</v>
      </c>
      <c r="J304" s="13" t="s">
        <v>45</v>
      </c>
      <c r="K304" s="14" t="s">
        <v>55</v>
      </c>
      <c r="L304" s="14" t="s">
        <v>34</v>
      </c>
      <c r="M304" s="14" t="s">
        <v>47</v>
      </c>
      <c r="N304" s="15" t="s">
        <v>48</v>
      </c>
      <c r="O304" s="14" t="s">
        <v>62</v>
      </c>
      <c r="P304" s="14" t="s">
        <v>48</v>
      </c>
      <c r="Q304" s="14" t="s">
        <v>42</v>
      </c>
      <c r="R304" s="14" t="s">
        <v>48</v>
      </c>
      <c r="S304" s="14" t="s">
        <v>42</v>
      </c>
      <c r="T304" s="14">
        <f t="shared" si="1"/>
        <v>3</v>
      </c>
      <c r="U304" s="14">
        <f t="shared" si="2"/>
        <v>1</v>
      </c>
      <c r="V304" s="14">
        <f t="shared" si="3"/>
        <v>0</v>
      </c>
      <c r="W304" s="16">
        <f t="shared" si="4"/>
        <v>1</v>
      </c>
      <c r="X304" s="14" t="str">
        <f t="shared" si="5"/>
        <v>Normal</v>
      </c>
      <c r="Y304" s="17">
        <f t="shared" si="6"/>
        <v>1.527525232</v>
      </c>
    </row>
    <row r="305">
      <c r="A305" s="7" t="s">
        <v>1238</v>
      </c>
      <c r="B305" s="8" t="s">
        <v>1239</v>
      </c>
      <c r="C305" s="9" t="s">
        <v>1240</v>
      </c>
      <c r="D305" s="9" t="s">
        <v>83</v>
      </c>
      <c r="E305" s="10" t="s">
        <v>1241</v>
      </c>
      <c r="F305" s="11" t="s">
        <v>464</v>
      </c>
      <c r="G305" s="12" t="s">
        <v>31</v>
      </c>
      <c r="H305" s="12" t="s">
        <v>31</v>
      </c>
      <c r="I305" s="19" t="s">
        <v>31</v>
      </c>
      <c r="J305" s="13" t="s">
        <v>32</v>
      </c>
      <c r="K305" s="14" t="s">
        <v>55</v>
      </c>
      <c r="L305" s="14" t="s">
        <v>46</v>
      </c>
      <c r="M305" s="14" t="s">
        <v>35</v>
      </c>
      <c r="N305" s="15" t="s">
        <v>49</v>
      </c>
      <c r="O305" s="14" t="s">
        <v>83</v>
      </c>
      <c r="P305" s="14" t="s">
        <v>36</v>
      </c>
      <c r="Q305" s="14" t="s">
        <v>83</v>
      </c>
      <c r="R305" s="14" t="s">
        <v>36</v>
      </c>
      <c r="S305" s="14" t="s">
        <v>83</v>
      </c>
      <c r="T305" s="14">
        <f t="shared" si="1"/>
        <v>0</v>
      </c>
      <c r="U305" s="14">
        <f t="shared" si="2"/>
        <v>3</v>
      </c>
      <c r="V305" s="14">
        <f t="shared" si="3"/>
        <v>1</v>
      </c>
      <c r="W305" s="16">
        <f t="shared" si="4"/>
        <v>1</v>
      </c>
      <c r="X305" s="14" t="str">
        <f t="shared" si="5"/>
        <v>Offensive</v>
      </c>
      <c r="Y305" s="17">
        <f t="shared" si="6"/>
        <v>1.527525232</v>
      </c>
    </row>
    <row r="306">
      <c r="A306" s="7" t="s">
        <v>1242</v>
      </c>
      <c r="B306" s="8" t="s">
        <v>1243</v>
      </c>
      <c r="C306" s="9" t="s">
        <v>1244</v>
      </c>
      <c r="D306" s="9" t="s">
        <v>42</v>
      </c>
      <c r="E306" s="10" t="s">
        <v>1245</v>
      </c>
      <c r="F306" s="11" t="s">
        <v>54</v>
      </c>
      <c r="G306" s="12"/>
      <c r="H306" s="12" t="s">
        <v>45</v>
      </c>
      <c r="I306" s="19" t="s">
        <v>32</v>
      </c>
      <c r="J306" s="13" t="s">
        <v>31</v>
      </c>
      <c r="K306" s="14" t="s">
        <v>55</v>
      </c>
      <c r="L306" s="14" t="s">
        <v>61</v>
      </c>
      <c r="M306" s="14" t="s">
        <v>35</v>
      </c>
      <c r="N306" s="15" t="s">
        <v>49</v>
      </c>
      <c r="O306" s="14" t="s">
        <v>83</v>
      </c>
      <c r="P306" s="14" t="s">
        <v>48</v>
      </c>
      <c r="Q306" s="14" t="s">
        <v>42</v>
      </c>
      <c r="R306" s="14" t="s">
        <v>49</v>
      </c>
      <c r="S306" s="14" t="s">
        <v>42</v>
      </c>
      <c r="T306" s="14">
        <f t="shared" si="1"/>
        <v>1</v>
      </c>
      <c r="U306" s="14">
        <f t="shared" si="2"/>
        <v>1</v>
      </c>
      <c r="V306" s="14">
        <f t="shared" si="3"/>
        <v>1</v>
      </c>
      <c r="W306" s="16">
        <f t="shared" si="4"/>
        <v>0.75</v>
      </c>
      <c r="X306" s="14" t="b">
        <f t="shared" si="5"/>
        <v>0</v>
      </c>
      <c r="Y306" s="17">
        <f t="shared" si="6"/>
        <v>0</v>
      </c>
    </row>
    <row r="307">
      <c r="A307" s="7" t="s">
        <v>1246</v>
      </c>
      <c r="B307" s="8" t="s">
        <v>1247</v>
      </c>
      <c r="C307" s="9" t="s">
        <v>1248</v>
      </c>
      <c r="D307" s="9" t="s">
        <v>42</v>
      </c>
      <c r="E307" s="10" t="s">
        <v>1249</v>
      </c>
      <c r="F307" s="18" t="s">
        <v>44</v>
      </c>
      <c r="G307" s="12" t="s">
        <v>45</v>
      </c>
      <c r="H307" s="12" t="s">
        <v>31</v>
      </c>
      <c r="I307" s="19" t="s">
        <v>31</v>
      </c>
      <c r="J307" s="13" t="s">
        <v>45</v>
      </c>
      <c r="K307" s="14" t="s">
        <v>55</v>
      </c>
      <c r="L307" s="14" t="s">
        <v>33</v>
      </c>
      <c r="M307" s="14" t="s">
        <v>35</v>
      </c>
      <c r="N307" s="15" t="s">
        <v>49</v>
      </c>
      <c r="O307" s="14" t="s">
        <v>37</v>
      </c>
      <c r="P307" s="14" t="s">
        <v>48</v>
      </c>
      <c r="Q307" s="14" t="s">
        <v>42</v>
      </c>
      <c r="R307" s="14" t="s">
        <v>36</v>
      </c>
      <c r="S307" s="14" t="s">
        <v>37</v>
      </c>
      <c r="T307" s="14">
        <f t="shared" si="1"/>
        <v>2</v>
      </c>
      <c r="U307" s="14">
        <f t="shared" si="2"/>
        <v>2</v>
      </c>
      <c r="V307" s="14">
        <f t="shared" si="3"/>
        <v>0</v>
      </c>
      <c r="W307" s="16">
        <f t="shared" si="4"/>
        <v>1</v>
      </c>
      <c r="X307" s="14" t="b">
        <f t="shared" si="5"/>
        <v>0</v>
      </c>
      <c r="Y307" s="17">
        <f t="shared" si="6"/>
        <v>1.154700538</v>
      </c>
    </row>
    <row r="308">
      <c r="A308" s="7" t="s">
        <v>1250</v>
      </c>
      <c r="B308" s="8" t="s">
        <v>1251</v>
      </c>
      <c r="C308" s="9" t="s">
        <v>1252</v>
      </c>
      <c r="D308" s="9" t="s">
        <v>225</v>
      </c>
      <c r="E308" s="10" t="s">
        <v>225</v>
      </c>
      <c r="F308" s="11" t="s">
        <v>43</v>
      </c>
      <c r="G308" s="12" t="s">
        <v>45</v>
      </c>
      <c r="H308" s="12" t="s">
        <v>31</v>
      </c>
      <c r="I308" s="12" t="s">
        <v>31</v>
      </c>
      <c r="J308" s="13" t="s">
        <v>31</v>
      </c>
      <c r="K308" s="14" t="s">
        <v>55</v>
      </c>
      <c r="L308" s="14" t="s">
        <v>34</v>
      </c>
      <c r="M308" s="14" t="s">
        <v>47</v>
      </c>
      <c r="N308" s="15" t="s">
        <v>48</v>
      </c>
      <c r="O308" s="14" t="s">
        <v>42</v>
      </c>
      <c r="P308" s="14" t="s">
        <v>48</v>
      </c>
      <c r="Q308" s="14" t="s">
        <v>42</v>
      </c>
      <c r="R308" s="14" t="s">
        <v>48</v>
      </c>
      <c r="S308" s="14" t="s">
        <v>42</v>
      </c>
      <c r="T308" s="14">
        <f t="shared" si="1"/>
        <v>1</v>
      </c>
      <c r="U308" s="14">
        <f t="shared" si="2"/>
        <v>3</v>
      </c>
      <c r="V308" s="14">
        <f t="shared" si="3"/>
        <v>0</v>
      </c>
      <c r="W308" s="16">
        <f t="shared" si="4"/>
        <v>1</v>
      </c>
      <c r="X308" s="14" t="str">
        <f t="shared" si="5"/>
        <v>Offensive</v>
      </c>
      <c r="Y308" s="17">
        <f t="shared" si="6"/>
        <v>1.527525232</v>
      </c>
    </row>
    <row r="309">
      <c r="A309" s="7" t="s">
        <v>1253</v>
      </c>
      <c r="B309" s="8" t="s">
        <v>1254</v>
      </c>
      <c r="C309" s="9" t="s">
        <v>1255</v>
      </c>
      <c r="D309" s="9" t="s">
        <v>225</v>
      </c>
      <c r="E309" s="10" t="s">
        <v>43</v>
      </c>
      <c r="F309" s="11" t="s">
        <v>43</v>
      </c>
      <c r="G309" s="12" t="s">
        <v>31</v>
      </c>
      <c r="H309" s="12" t="s">
        <v>31</v>
      </c>
      <c r="I309" s="19" t="s">
        <v>31</v>
      </c>
      <c r="J309" s="13" t="s">
        <v>31</v>
      </c>
      <c r="K309" s="14" t="s">
        <v>55</v>
      </c>
      <c r="L309" s="14" t="s">
        <v>46</v>
      </c>
      <c r="M309" s="14" t="s">
        <v>35</v>
      </c>
      <c r="N309" s="15" t="s">
        <v>49</v>
      </c>
      <c r="O309" s="14" t="s">
        <v>43</v>
      </c>
      <c r="P309" s="14" t="s">
        <v>36</v>
      </c>
      <c r="Q309" s="14" t="s">
        <v>43</v>
      </c>
      <c r="R309" s="14" t="s">
        <v>49</v>
      </c>
      <c r="S309" s="14" t="s">
        <v>43</v>
      </c>
      <c r="T309" s="14">
        <f t="shared" si="1"/>
        <v>0</v>
      </c>
      <c r="U309" s="14">
        <f t="shared" si="2"/>
        <v>4</v>
      </c>
      <c r="V309" s="14">
        <f t="shared" si="3"/>
        <v>0</v>
      </c>
      <c r="W309" s="16">
        <f t="shared" si="4"/>
        <v>1</v>
      </c>
      <c r="X309" s="14" t="str">
        <f t="shared" si="5"/>
        <v>Offensive</v>
      </c>
      <c r="Y309" s="17">
        <f t="shared" si="6"/>
        <v>2.309401077</v>
      </c>
    </row>
    <row r="310">
      <c r="A310" s="7" t="s">
        <v>1256</v>
      </c>
      <c r="B310" s="8" t="s">
        <v>1257</v>
      </c>
      <c r="C310" s="9" t="s">
        <v>1258</v>
      </c>
      <c r="D310" s="9" t="s">
        <v>187</v>
      </c>
      <c r="E310" s="10" t="s">
        <v>269</v>
      </c>
      <c r="F310" s="18" t="s">
        <v>44</v>
      </c>
      <c r="G310" s="12" t="s">
        <v>45</v>
      </c>
      <c r="H310" s="12" t="s">
        <v>45</v>
      </c>
      <c r="I310" s="19" t="s">
        <v>45</v>
      </c>
      <c r="J310" s="13" t="s">
        <v>45</v>
      </c>
      <c r="K310" s="14" t="s">
        <v>55</v>
      </c>
      <c r="L310" s="14" t="s">
        <v>61</v>
      </c>
      <c r="M310" s="14" t="s">
        <v>47</v>
      </c>
      <c r="N310" s="15" t="s">
        <v>48</v>
      </c>
      <c r="O310" s="14" t="s">
        <v>42</v>
      </c>
      <c r="P310" s="14" t="s">
        <v>48</v>
      </c>
      <c r="Q310" s="14" t="s">
        <v>42</v>
      </c>
      <c r="R310" s="14" t="s">
        <v>48</v>
      </c>
      <c r="S310" s="14" t="s">
        <v>42</v>
      </c>
      <c r="T310" s="14">
        <f t="shared" si="1"/>
        <v>4</v>
      </c>
      <c r="U310" s="14">
        <f t="shared" si="2"/>
        <v>0</v>
      </c>
      <c r="V310" s="14">
        <f t="shared" si="3"/>
        <v>0</v>
      </c>
      <c r="W310" s="16">
        <f t="shared" si="4"/>
        <v>1</v>
      </c>
      <c r="X310" s="14" t="str">
        <f t="shared" si="5"/>
        <v>Normal</v>
      </c>
      <c r="Y310" s="17">
        <f t="shared" si="6"/>
        <v>2.309401077</v>
      </c>
    </row>
    <row r="311">
      <c r="A311" s="7" t="s">
        <v>1259</v>
      </c>
      <c r="B311" s="8" t="s">
        <v>1260</v>
      </c>
      <c r="C311" s="9" t="s">
        <v>1261</v>
      </c>
      <c r="D311" s="9" t="s">
        <v>347</v>
      </c>
      <c r="E311" s="10" t="s">
        <v>1262</v>
      </c>
      <c r="F311" s="18" t="s">
        <v>44</v>
      </c>
      <c r="G311" s="12" t="s">
        <v>31</v>
      </c>
      <c r="H311" s="12" t="s">
        <v>31</v>
      </c>
      <c r="I311" s="19" t="s">
        <v>31</v>
      </c>
      <c r="J311" s="13" t="s">
        <v>45</v>
      </c>
      <c r="K311" s="14" t="s">
        <v>55</v>
      </c>
      <c r="L311" s="14" t="s">
        <v>33</v>
      </c>
      <c r="M311" s="14" t="s">
        <v>47</v>
      </c>
      <c r="N311" s="15" t="s">
        <v>49</v>
      </c>
      <c r="O311" s="14" t="s">
        <v>1263</v>
      </c>
      <c r="P311" s="14" t="s">
        <v>49</v>
      </c>
      <c r="Q311" s="14" t="s">
        <v>508</v>
      </c>
      <c r="R311" s="14" t="s">
        <v>49</v>
      </c>
      <c r="S311" s="14" t="s">
        <v>62</v>
      </c>
      <c r="T311" s="14">
        <f t="shared" si="1"/>
        <v>1</v>
      </c>
      <c r="U311" s="14">
        <f t="shared" si="2"/>
        <v>3</v>
      </c>
      <c r="V311" s="14">
        <f t="shared" si="3"/>
        <v>0</v>
      </c>
      <c r="W311" s="16">
        <f t="shared" si="4"/>
        <v>1</v>
      </c>
      <c r="X311" s="14" t="str">
        <f t="shared" si="5"/>
        <v>Offensive</v>
      </c>
      <c r="Y311" s="17">
        <f t="shared" si="6"/>
        <v>1.527525232</v>
      </c>
    </row>
    <row r="312">
      <c r="A312" s="7" t="s">
        <v>1264</v>
      </c>
      <c r="B312" s="8" t="s">
        <v>1265</v>
      </c>
      <c r="C312" s="9" t="s">
        <v>1266</v>
      </c>
      <c r="D312" s="26" t="s">
        <v>42</v>
      </c>
      <c r="E312" s="24"/>
      <c r="F312" s="18" t="s">
        <v>44</v>
      </c>
      <c r="G312" s="12" t="s">
        <v>45</v>
      </c>
      <c r="H312" s="12" t="s">
        <v>45</v>
      </c>
      <c r="I312" s="12" t="s">
        <v>45</v>
      </c>
      <c r="J312" s="13" t="s">
        <v>45</v>
      </c>
      <c r="K312" s="14" t="s">
        <v>55</v>
      </c>
      <c r="L312" s="14" t="s">
        <v>34</v>
      </c>
      <c r="M312" s="14" t="s">
        <v>35</v>
      </c>
      <c r="N312" s="15" t="s">
        <v>48</v>
      </c>
      <c r="O312" s="14" t="s">
        <v>43</v>
      </c>
      <c r="P312" s="14" t="s">
        <v>48</v>
      </c>
      <c r="Q312" s="14" t="s">
        <v>42</v>
      </c>
      <c r="R312" s="14" t="s">
        <v>48</v>
      </c>
      <c r="S312" s="14" t="s">
        <v>105</v>
      </c>
      <c r="T312" s="14">
        <f t="shared" si="1"/>
        <v>4</v>
      </c>
      <c r="U312" s="14">
        <f t="shared" si="2"/>
        <v>0</v>
      </c>
      <c r="V312" s="14">
        <f t="shared" si="3"/>
        <v>0</v>
      </c>
      <c r="W312" s="16">
        <f t="shared" si="4"/>
        <v>1</v>
      </c>
      <c r="X312" s="14" t="str">
        <f t="shared" si="5"/>
        <v>Normal</v>
      </c>
      <c r="Y312" s="17">
        <f t="shared" si="6"/>
        <v>2.309401077</v>
      </c>
    </row>
    <row r="313">
      <c r="A313" s="7" t="s">
        <v>1267</v>
      </c>
      <c r="B313" s="8" t="s">
        <v>1268</v>
      </c>
      <c r="C313" s="9" t="s">
        <v>1269</v>
      </c>
      <c r="D313" s="33"/>
      <c r="E313" s="10" t="s">
        <v>181</v>
      </c>
      <c r="F313" s="18" t="s">
        <v>44</v>
      </c>
      <c r="G313" s="12" t="s">
        <v>45</v>
      </c>
      <c r="H313" s="12" t="s">
        <v>45</v>
      </c>
      <c r="I313" s="19" t="s">
        <v>31</v>
      </c>
      <c r="J313" s="13" t="s">
        <v>45</v>
      </c>
      <c r="K313" s="14" t="s">
        <v>55</v>
      </c>
      <c r="L313" s="14" t="s">
        <v>46</v>
      </c>
      <c r="M313" s="14" t="s">
        <v>47</v>
      </c>
      <c r="N313" s="15" t="s">
        <v>48</v>
      </c>
      <c r="O313" s="14" t="s">
        <v>42</v>
      </c>
      <c r="P313" s="14" t="s">
        <v>48</v>
      </c>
      <c r="Q313" s="14" t="s">
        <v>42</v>
      </c>
      <c r="R313" s="14" t="s">
        <v>48</v>
      </c>
      <c r="S313" s="14" t="s">
        <v>42</v>
      </c>
      <c r="T313" s="14">
        <f t="shared" si="1"/>
        <v>3</v>
      </c>
      <c r="U313" s="14">
        <f t="shared" si="2"/>
        <v>1</v>
      </c>
      <c r="V313" s="14">
        <f t="shared" si="3"/>
        <v>0</v>
      </c>
      <c r="W313" s="16">
        <f t="shared" si="4"/>
        <v>1</v>
      </c>
      <c r="X313" s="14" t="str">
        <f t="shared" si="5"/>
        <v>Normal</v>
      </c>
      <c r="Y313" s="17">
        <f t="shared" si="6"/>
        <v>1.527525232</v>
      </c>
    </row>
    <row r="314">
      <c r="A314" s="7" t="s">
        <v>1270</v>
      </c>
      <c r="B314" s="8" t="s">
        <v>1271</v>
      </c>
      <c r="C314" s="9" t="s">
        <v>1272</v>
      </c>
      <c r="D314" s="9" t="s">
        <v>1273</v>
      </c>
      <c r="E314" s="10" t="s">
        <v>1274</v>
      </c>
      <c r="F314" s="11" t="s">
        <v>155</v>
      </c>
      <c r="G314" s="12" t="s">
        <v>31</v>
      </c>
      <c r="H314" s="12" t="s">
        <v>45</v>
      </c>
      <c r="I314" s="19" t="s">
        <v>32</v>
      </c>
      <c r="J314" s="13" t="s">
        <v>32</v>
      </c>
      <c r="K314" s="14" t="s">
        <v>55</v>
      </c>
      <c r="L314" s="14" t="s">
        <v>61</v>
      </c>
      <c r="M314" s="14" t="s">
        <v>35</v>
      </c>
      <c r="N314" s="15" t="s">
        <v>49</v>
      </c>
      <c r="O314" s="14" t="s">
        <v>115</v>
      </c>
      <c r="P314" s="14" t="s">
        <v>49</v>
      </c>
      <c r="Q314" s="14" t="s">
        <v>105</v>
      </c>
      <c r="R314" s="14" t="s">
        <v>36</v>
      </c>
      <c r="S314" s="14" t="s">
        <v>115</v>
      </c>
      <c r="T314" s="14">
        <f t="shared" si="1"/>
        <v>1</v>
      </c>
      <c r="U314" s="14">
        <f t="shared" si="2"/>
        <v>1</v>
      </c>
      <c r="V314" s="14">
        <f t="shared" si="3"/>
        <v>2</v>
      </c>
      <c r="W314" s="16">
        <f t="shared" si="4"/>
        <v>1</v>
      </c>
      <c r="X314" s="14" t="b">
        <f t="shared" si="5"/>
        <v>0</v>
      </c>
      <c r="Y314" s="17">
        <f t="shared" si="6"/>
        <v>0.5773502692</v>
      </c>
    </row>
    <row r="315">
      <c r="A315" s="7" t="s">
        <v>1275</v>
      </c>
      <c r="B315" s="8" t="s">
        <v>1276</v>
      </c>
      <c r="C315" s="9" t="s">
        <v>1277</v>
      </c>
      <c r="D315" s="9" t="s">
        <v>459</v>
      </c>
      <c r="E315" s="10" t="s">
        <v>54</v>
      </c>
      <c r="F315" s="11" t="s">
        <v>54</v>
      </c>
      <c r="G315" s="12" t="s">
        <v>31</v>
      </c>
      <c r="H315" s="12" t="s">
        <v>31</v>
      </c>
      <c r="I315" s="19" t="s">
        <v>32</v>
      </c>
      <c r="J315" s="13" t="s">
        <v>32</v>
      </c>
      <c r="K315" s="14" t="s">
        <v>55</v>
      </c>
      <c r="L315" s="14" t="s">
        <v>33</v>
      </c>
      <c r="M315" s="14" t="s">
        <v>35</v>
      </c>
      <c r="N315" s="15" t="s">
        <v>36</v>
      </c>
      <c r="O315" s="14" t="s">
        <v>37</v>
      </c>
      <c r="P315" s="14" t="s">
        <v>36</v>
      </c>
      <c r="Q315" s="14" t="s">
        <v>37</v>
      </c>
      <c r="R315" s="14" t="s">
        <v>36</v>
      </c>
      <c r="S315" s="14" t="s">
        <v>37</v>
      </c>
      <c r="T315" s="14">
        <f t="shared" si="1"/>
        <v>0</v>
      </c>
      <c r="U315" s="14">
        <f t="shared" si="2"/>
        <v>2</v>
      </c>
      <c r="V315" s="14">
        <f t="shared" si="3"/>
        <v>2</v>
      </c>
      <c r="W315" s="16">
        <f t="shared" si="4"/>
        <v>1</v>
      </c>
      <c r="X315" s="14" t="b">
        <f t="shared" si="5"/>
        <v>0</v>
      </c>
      <c r="Y315" s="17">
        <f t="shared" si="6"/>
        <v>1.154700538</v>
      </c>
    </row>
    <row r="316">
      <c r="A316" s="7" t="s">
        <v>1278</v>
      </c>
      <c r="B316" s="8" t="s">
        <v>1279</v>
      </c>
      <c r="C316" s="9" t="s">
        <v>1280</v>
      </c>
      <c r="D316" s="26" t="s">
        <v>42</v>
      </c>
      <c r="E316" s="10" t="s">
        <v>78</v>
      </c>
      <c r="F316" s="18" t="s">
        <v>44</v>
      </c>
      <c r="G316" s="12" t="s">
        <v>45</v>
      </c>
      <c r="H316" s="12" t="s">
        <v>45</v>
      </c>
      <c r="I316" s="12" t="s">
        <v>31</v>
      </c>
      <c r="J316" s="13" t="s">
        <v>45</v>
      </c>
      <c r="K316" s="14" t="s">
        <v>55</v>
      </c>
      <c r="L316" s="14" t="s">
        <v>34</v>
      </c>
      <c r="M316" s="14" t="s">
        <v>35</v>
      </c>
      <c r="N316" s="15" t="s">
        <v>48</v>
      </c>
      <c r="O316" s="14" t="s">
        <v>42</v>
      </c>
      <c r="P316" s="14" t="s">
        <v>48</v>
      </c>
      <c r="Q316" s="14" t="s">
        <v>42</v>
      </c>
      <c r="R316" s="14" t="s">
        <v>48</v>
      </c>
      <c r="S316" s="14" t="s">
        <v>77</v>
      </c>
      <c r="T316" s="14">
        <f t="shared" si="1"/>
        <v>3</v>
      </c>
      <c r="U316" s="14">
        <f t="shared" si="2"/>
        <v>1</v>
      </c>
      <c r="V316" s="14">
        <f t="shared" si="3"/>
        <v>0</v>
      </c>
      <c r="W316" s="16">
        <f t="shared" si="4"/>
        <v>1</v>
      </c>
      <c r="X316" s="14" t="str">
        <f t="shared" si="5"/>
        <v>Normal</v>
      </c>
      <c r="Y316" s="17">
        <f t="shared" si="6"/>
        <v>1.527525232</v>
      </c>
    </row>
    <row r="317">
      <c r="A317" s="7" t="s">
        <v>1281</v>
      </c>
      <c r="B317" s="8" t="s">
        <v>1282</v>
      </c>
      <c r="C317" s="9" t="s">
        <v>1283</v>
      </c>
      <c r="D317" s="9" t="s">
        <v>459</v>
      </c>
      <c r="E317" s="10" t="s">
        <v>54</v>
      </c>
      <c r="F317" s="18" t="s">
        <v>44</v>
      </c>
      <c r="G317" s="12" t="s">
        <v>32</v>
      </c>
      <c r="H317" s="12" t="s">
        <v>31</v>
      </c>
      <c r="I317" s="19" t="s">
        <v>32</v>
      </c>
      <c r="J317" s="13" t="s">
        <v>45</v>
      </c>
      <c r="K317" s="14" t="s">
        <v>55</v>
      </c>
      <c r="L317" s="14" t="s">
        <v>46</v>
      </c>
      <c r="M317" s="14" t="s">
        <v>35</v>
      </c>
      <c r="N317" s="15" t="s">
        <v>36</v>
      </c>
      <c r="O317" s="14" t="s">
        <v>693</v>
      </c>
      <c r="P317" s="14" t="s">
        <v>48</v>
      </c>
      <c r="Q317" s="14" t="s">
        <v>42</v>
      </c>
      <c r="R317" s="14" t="s">
        <v>49</v>
      </c>
      <c r="S317" s="14" t="s">
        <v>37</v>
      </c>
      <c r="T317" s="14">
        <f t="shared" si="1"/>
        <v>1</v>
      </c>
      <c r="U317" s="14">
        <f t="shared" si="2"/>
        <v>1</v>
      </c>
      <c r="V317" s="14">
        <f t="shared" si="3"/>
        <v>2</v>
      </c>
      <c r="W317" s="16">
        <f t="shared" si="4"/>
        <v>1</v>
      </c>
      <c r="X317" s="14" t="b">
        <f t="shared" si="5"/>
        <v>0</v>
      </c>
      <c r="Y317" s="17">
        <f t="shared" si="6"/>
        <v>0.5773502692</v>
      </c>
    </row>
    <row r="318">
      <c r="A318" s="7" t="s">
        <v>1284</v>
      </c>
      <c r="B318" s="8" t="s">
        <v>1285</v>
      </c>
      <c r="C318" s="9" t="s">
        <v>1286</v>
      </c>
      <c r="D318" s="9" t="s">
        <v>1287</v>
      </c>
      <c r="E318" s="10" t="s">
        <v>60</v>
      </c>
      <c r="F318" s="11" t="s">
        <v>1288</v>
      </c>
      <c r="G318" s="12" t="s">
        <v>31</v>
      </c>
      <c r="H318" s="12" t="s">
        <v>31</v>
      </c>
      <c r="I318" s="19" t="s">
        <v>32</v>
      </c>
      <c r="J318" s="13" t="s">
        <v>32</v>
      </c>
      <c r="K318" s="14" t="s">
        <v>55</v>
      </c>
      <c r="L318" s="14" t="s">
        <v>61</v>
      </c>
      <c r="M318" s="14" t="s">
        <v>35</v>
      </c>
      <c r="N318" s="15" t="s">
        <v>36</v>
      </c>
      <c r="O318" s="14" t="s">
        <v>1289</v>
      </c>
      <c r="P318" s="14" t="s">
        <v>36</v>
      </c>
      <c r="Q318" s="14" t="s">
        <v>1151</v>
      </c>
      <c r="R318" s="14" t="s">
        <v>36</v>
      </c>
      <c r="S318" s="14" t="s">
        <v>1290</v>
      </c>
      <c r="T318" s="14">
        <f t="shared" si="1"/>
        <v>0</v>
      </c>
      <c r="U318" s="14">
        <f t="shared" si="2"/>
        <v>2</v>
      </c>
      <c r="V318" s="14">
        <f t="shared" si="3"/>
        <v>2</v>
      </c>
      <c r="W318" s="16">
        <f t="shared" si="4"/>
        <v>1</v>
      </c>
      <c r="X318" s="14" t="b">
        <f t="shared" si="5"/>
        <v>0</v>
      </c>
      <c r="Y318" s="17">
        <f t="shared" si="6"/>
        <v>1.154700538</v>
      </c>
    </row>
    <row r="319">
      <c r="A319" s="7" t="s">
        <v>1291</v>
      </c>
      <c r="B319" s="8" t="s">
        <v>1292</v>
      </c>
      <c r="C319" s="9" t="s">
        <v>1293</v>
      </c>
      <c r="D319" s="9" t="s">
        <v>42</v>
      </c>
      <c r="E319" s="10" t="s">
        <v>181</v>
      </c>
      <c r="F319" s="18" t="s">
        <v>44</v>
      </c>
      <c r="G319" s="12" t="s">
        <v>45</v>
      </c>
      <c r="H319" s="12" t="s">
        <v>45</v>
      </c>
      <c r="I319" s="19" t="s">
        <v>31</v>
      </c>
      <c r="J319" s="13" t="s">
        <v>45</v>
      </c>
      <c r="K319" s="14" t="s">
        <v>55</v>
      </c>
      <c r="L319" s="14" t="s">
        <v>33</v>
      </c>
      <c r="M319" s="14" t="s">
        <v>47</v>
      </c>
      <c r="N319" s="15" t="s">
        <v>49</v>
      </c>
      <c r="O319" s="14" t="s">
        <v>42</v>
      </c>
      <c r="P319" s="14" t="s">
        <v>48</v>
      </c>
      <c r="Q319" s="14" t="s">
        <v>42</v>
      </c>
      <c r="R319" s="14" t="s">
        <v>49</v>
      </c>
      <c r="S319" s="14" t="s">
        <v>42</v>
      </c>
      <c r="T319" s="14">
        <f t="shared" si="1"/>
        <v>3</v>
      </c>
      <c r="U319" s="14">
        <f t="shared" si="2"/>
        <v>1</v>
      </c>
      <c r="V319" s="14">
        <f t="shared" si="3"/>
        <v>0</v>
      </c>
      <c r="W319" s="16">
        <f t="shared" si="4"/>
        <v>1</v>
      </c>
      <c r="X319" s="14" t="str">
        <f t="shared" si="5"/>
        <v>Normal</v>
      </c>
      <c r="Y319" s="17">
        <f t="shared" si="6"/>
        <v>1.527525232</v>
      </c>
    </row>
    <row r="320">
      <c r="A320" s="7" t="s">
        <v>1294</v>
      </c>
      <c r="B320" s="8" t="s">
        <v>1295</v>
      </c>
      <c r="C320" s="9" t="s">
        <v>1296</v>
      </c>
      <c r="D320" s="26" t="s">
        <v>42</v>
      </c>
      <c r="E320" s="10" t="s">
        <v>1297</v>
      </c>
      <c r="F320" s="11" t="s">
        <v>1298</v>
      </c>
      <c r="G320" s="12" t="s">
        <v>31</v>
      </c>
      <c r="H320" s="12" t="s">
        <v>45</v>
      </c>
      <c r="I320" s="12" t="s">
        <v>32</v>
      </c>
      <c r="J320" s="13" t="s">
        <v>32</v>
      </c>
      <c r="K320" s="14" t="s">
        <v>55</v>
      </c>
      <c r="L320" s="14" t="s">
        <v>34</v>
      </c>
      <c r="M320" s="14" t="s">
        <v>35</v>
      </c>
      <c r="N320" s="15" t="s">
        <v>48</v>
      </c>
      <c r="O320" s="14" t="s">
        <v>42</v>
      </c>
      <c r="P320" s="14" t="s">
        <v>49</v>
      </c>
      <c r="Q320" s="14" t="s">
        <v>43</v>
      </c>
      <c r="R320" s="14" t="s">
        <v>49</v>
      </c>
      <c r="S320" s="14" t="s">
        <v>62</v>
      </c>
      <c r="T320" s="14">
        <f t="shared" si="1"/>
        <v>1</v>
      </c>
      <c r="U320" s="14">
        <f t="shared" si="2"/>
        <v>1</v>
      </c>
      <c r="V320" s="14">
        <f t="shared" si="3"/>
        <v>2</v>
      </c>
      <c r="W320" s="16">
        <f t="shared" si="4"/>
        <v>1</v>
      </c>
      <c r="X320" s="14" t="b">
        <f t="shared" si="5"/>
        <v>0</v>
      </c>
      <c r="Y320" s="17">
        <f t="shared" si="6"/>
        <v>0.5773502692</v>
      </c>
    </row>
    <row r="321">
      <c r="A321" s="7" t="s">
        <v>1299</v>
      </c>
      <c r="B321" s="8" t="s">
        <v>1300</v>
      </c>
      <c r="C321" s="9" t="s">
        <v>1301</v>
      </c>
      <c r="D321" s="9" t="s">
        <v>1302</v>
      </c>
      <c r="E321" s="10" t="s">
        <v>181</v>
      </c>
      <c r="F321" s="18" t="s">
        <v>44</v>
      </c>
      <c r="G321" s="12" t="s">
        <v>45</v>
      </c>
      <c r="H321" s="12" t="s">
        <v>45</v>
      </c>
      <c r="I321" s="19" t="s">
        <v>32</v>
      </c>
      <c r="J321" s="13" t="s">
        <v>45</v>
      </c>
      <c r="K321" s="14" t="s">
        <v>55</v>
      </c>
      <c r="L321" s="14" t="s">
        <v>46</v>
      </c>
      <c r="M321" s="14" t="s">
        <v>47</v>
      </c>
      <c r="N321" s="15" t="s">
        <v>48</v>
      </c>
      <c r="O321" s="14" t="s">
        <v>42</v>
      </c>
      <c r="P321" s="14" t="s">
        <v>48</v>
      </c>
      <c r="Q321" s="14" t="s">
        <v>42</v>
      </c>
      <c r="R321" s="14" t="s">
        <v>48</v>
      </c>
      <c r="S321" s="14" t="s">
        <v>42</v>
      </c>
      <c r="T321" s="14">
        <f t="shared" si="1"/>
        <v>3</v>
      </c>
      <c r="U321" s="14">
        <f t="shared" si="2"/>
        <v>0</v>
      </c>
      <c r="V321" s="14">
        <f t="shared" si="3"/>
        <v>1</v>
      </c>
      <c r="W321" s="16">
        <f t="shared" si="4"/>
        <v>1</v>
      </c>
      <c r="X321" s="14" t="str">
        <f t="shared" si="5"/>
        <v>Normal</v>
      </c>
      <c r="Y321" s="17">
        <f t="shared" si="6"/>
        <v>1.527525232</v>
      </c>
    </row>
    <row r="322">
      <c r="A322" s="7" t="s">
        <v>1303</v>
      </c>
      <c r="B322" s="8" t="s">
        <v>1304</v>
      </c>
      <c r="C322" s="9" t="s">
        <v>1305</v>
      </c>
      <c r="D322" s="9" t="s">
        <v>62</v>
      </c>
      <c r="E322" s="10" t="s">
        <v>384</v>
      </c>
      <c r="F322" s="11" t="s">
        <v>1306</v>
      </c>
      <c r="G322" s="12" t="s">
        <v>32</v>
      </c>
      <c r="H322" s="12" t="s">
        <v>45</v>
      </c>
      <c r="I322" s="19" t="s">
        <v>32</v>
      </c>
      <c r="J322" s="13" t="s">
        <v>32</v>
      </c>
      <c r="K322" s="14" t="s">
        <v>55</v>
      </c>
      <c r="L322" s="14" t="s">
        <v>61</v>
      </c>
      <c r="M322" s="14" t="s">
        <v>35</v>
      </c>
      <c r="N322" s="15" t="s">
        <v>36</v>
      </c>
      <c r="O322" s="14" t="s">
        <v>62</v>
      </c>
      <c r="P322" s="14" t="s">
        <v>48</v>
      </c>
      <c r="Q322" s="14" t="s">
        <v>62</v>
      </c>
      <c r="R322" s="14" t="s">
        <v>49</v>
      </c>
      <c r="S322" s="14" t="s">
        <v>62</v>
      </c>
      <c r="T322" s="14">
        <f t="shared" si="1"/>
        <v>1</v>
      </c>
      <c r="U322" s="14">
        <f t="shared" si="2"/>
        <v>0</v>
      </c>
      <c r="V322" s="14">
        <f t="shared" si="3"/>
        <v>3</v>
      </c>
      <c r="W322" s="16">
        <f t="shared" si="4"/>
        <v>1</v>
      </c>
      <c r="X322" s="14" t="str">
        <f t="shared" si="5"/>
        <v>Hate Speech</v>
      </c>
      <c r="Y322" s="17">
        <f t="shared" si="6"/>
        <v>1.527525232</v>
      </c>
    </row>
    <row r="323">
      <c r="A323" s="7" t="s">
        <v>1307</v>
      </c>
      <c r="B323" s="8" t="s">
        <v>1308</v>
      </c>
      <c r="C323" s="9" t="s">
        <v>1309</v>
      </c>
      <c r="D323" s="9" t="s">
        <v>1310</v>
      </c>
      <c r="E323" s="10" t="s">
        <v>1311</v>
      </c>
      <c r="F323" s="11" t="s">
        <v>1312</v>
      </c>
      <c r="G323" s="12" t="s">
        <v>31</v>
      </c>
      <c r="H323" s="12" t="s">
        <v>31</v>
      </c>
      <c r="I323" s="19" t="s">
        <v>32</v>
      </c>
      <c r="J323" s="13" t="s">
        <v>32</v>
      </c>
      <c r="K323" s="14" t="s">
        <v>55</v>
      </c>
      <c r="L323" s="14" t="s">
        <v>33</v>
      </c>
      <c r="M323" s="14" t="s">
        <v>35</v>
      </c>
      <c r="N323" s="15" t="s">
        <v>49</v>
      </c>
      <c r="O323" s="14" t="s">
        <v>37</v>
      </c>
      <c r="P323" s="14" t="s">
        <v>48</v>
      </c>
      <c r="Q323" s="14" t="s">
        <v>42</v>
      </c>
      <c r="R323" s="14" t="s">
        <v>49</v>
      </c>
      <c r="S323" s="14" t="s">
        <v>283</v>
      </c>
      <c r="T323" s="14">
        <f t="shared" si="1"/>
        <v>0</v>
      </c>
      <c r="U323" s="14">
        <f t="shared" si="2"/>
        <v>2</v>
      </c>
      <c r="V323" s="14">
        <f t="shared" si="3"/>
        <v>2</v>
      </c>
      <c r="W323" s="16">
        <f t="shared" si="4"/>
        <v>1</v>
      </c>
      <c r="X323" s="14" t="b">
        <f t="shared" si="5"/>
        <v>0</v>
      </c>
      <c r="Y323" s="17">
        <f t="shared" si="6"/>
        <v>1.154700538</v>
      </c>
    </row>
    <row r="324">
      <c r="A324" s="7" t="s">
        <v>1313</v>
      </c>
      <c r="B324" s="8" t="s">
        <v>1314</v>
      </c>
      <c r="C324" s="9" t="s">
        <v>1315</v>
      </c>
      <c r="D324" s="9" t="s">
        <v>83</v>
      </c>
      <c r="E324" s="10" t="s">
        <v>42</v>
      </c>
      <c r="F324" s="11" t="s">
        <v>464</v>
      </c>
      <c r="G324" s="12" t="s">
        <v>31</v>
      </c>
      <c r="H324" s="12" t="s">
        <v>31</v>
      </c>
      <c r="I324" s="19" t="s">
        <v>31</v>
      </c>
      <c r="J324" s="13" t="s">
        <v>31</v>
      </c>
      <c r="K324" s="14" t="s">
        <v>55</v>
      </c>
      <c r="L324" s="14" t="s">
        <v>34</v>
      </c>
      <c r="M324" s="14" t="s">
        <v>47</v>
      </c>
      <c r="N324" s="15" t="s">
        <v>49</v>
      </c>
      <c r="O324" s="14" t="s">
        <v>42</v>
      </c>
      <c r="P324" s="14" t="s">
        <v>49</v>
      </c>
      <c r="Q324" s="14" t="s">
        <v>43</v>
      </c>
      <c r="R324" s="14" t="s">
        <v>49</v>
      </c>
      <c r="S324" s="14" t="s">
        <v>42</v>
      </c>
      <c r="T324" s="14">
        <f t="shared" si="1"/>
        <v>0</v>
      </c>
      <c r="U324" s="14">
        <f t="shared" si="2"/>
        <v>4</v>
      </c>
      <c r="V324" s="14">
        <f t="shared" si="3"/>
        <v>0</v>
      </c>
      <c r="W324" s="16">
        <f t="shared" si="4"/>
        <v>1</v>
      </c>
      <c r="X324" s="14" t="str">
        <f t="shared" si="5"/>
        <v>Offensive</v>
      </c>
      <c r="Y324" s="17">
        <f t="shared" si="6"/>
        <v>2.309401077</v>
      </c>
    </row>
    <row r="325">
      <c r="A325" s="7" t="s">
        <v>1316</v>
      </c>
      <c r="B325" s="8" t="s">
        <v>1317</v>
      </c>
      <c r="C325" s="9" t="s">
        <v>1318</v>
      </c>
      <c r="D325" s="9" t="s">
        <v>543</v>
      </c>
      <c r="E325" s="10" t="s">
        <v>1319</v>
      </c>
      <c r="F325" s="11" t="s">
        <v>110</v>
      </c>
      <c r="G325" s="12" t="s">
        <v>31</v>
      </c>
      <c r="H325" s="12" t="s">
        <v>31</v>
      </c>
      <c r="I325" s="19" t="s">
        <v>31</v>
      </c>
      <c r="J325" s="13" t="s">
        <v>31</v>
      </c>
      <c r="K325" s="14" t="s">
        <v>55</v>
      </c>
      <c r="L325" s="14" t="s">
        <v>46</v>
      </c>
      <c r="M325" s="14" t="s">
        <v>47</v>
      </c>
      <c r="N325" s="15" t="s">
        <v>48</v>
      </c>
      <c r="O325" s="14" t="s">
        <v>42</v>
      </c>
      <c r="P325" s="14" t="s">
        <v>49</v>
      </c>
      <c r="Q325" s="14" t="s">
        <v>544</v>
      </c>
      <c r="R325" s="14" t="s">
        <v>49</v>
      </c>
      <c r="S325" s="14" t="s">
        <v>43</v>
      </c>
      <c r="T325" s="14">
        <f t="shared" si="1"/>
        <v>0</v>
      </c>
      <c r="U325" s="14">
        <f t="shared" si="2"/>
        <v>4</v>
      </c>
      <c r="V325" s="14">
        <f t="shared" si="3"/>
        <v>0</v>
      </c>
      <c r="W325" s="16">
        <f t="shared" si="4"/>
        <v>1</v>
      </c>
      <c r="X325" s="14" t="str">
        <f t="shared" si="5"/>
        <v>Offensive</v>
      </c>
      <c r="Y325" s="17">
        <f t="shared" si="6"/>
        <v>2.309401077</v>
      </c>
    </row>
    <row r="326">
      <c r="A326" s="7" t="s">
        <v>1320</v>
      </c>
      <c r="B326" s="8" t="s">
        <v>1321</v>
      </c>
      <c r="C326" s="9" t="s">
        <v>1322</v>
      </c>
      <c r="D326" s="9" t="s">
        <v>42</v>
      </c>
      <c r="E326" s="10" t="s">
        <v>1323</v>
      </c>
      <c r="F326" s="18" t="s">
        <v>44</v>
      </c>
      <c r="G326" s="12" t="s">
        <v>45</v>
      </c>
      <c r="H326" s="12" t="s">
        <v>45</v>
      </c>
      <c r="I326" s="19" t="s">
        <v>45</v>
      </c>
      <c r="J326" s="13" t="s">
        <v>45</v>
      </c>
      <c r="K326" s="14" t="s">
        <v>55</v>
      </c>
      <c r="L326" s="14" t="s">
        <v>61</v>
      </c>
      <c r="M326" s="14" t="s">
        <v>35</v>
      </c>
      <c r="N326" s="15" t="s">
        <v>48</v>
      </c>
      <c r="O326" s="14" t="s">
        <v>42</v>
      </c>
      <c r="P326" s="14" t="s">
        <v>49</v>
      </c>
      <c r="Q326" s="14" t="s">
        <v>283</v>
      </c>
      <c r="R326" s="14" t="s">
        <v>36</v>
      </c>
      <c r="S326" s="14" t="s">
        <v>283</v>
      </c>
      <c r="T326" s="14">
        <f t="shared" si="1"/>
        <v>4</v>
      </c>
      <c r="U326" s="14">
        <f t="shared" si="2"/>
        <v>0</v>
      </c>
      <c r="V326" s="14">
        <f t="shared" si="3"/>
        <v>0</v>
      </c>
      <c r="W326" s="16">
        <f t="shared" si="4"/>
        <v>1</v>
      </c>
      <c r="X326" s="14" t="str">
        <f t="shared" si="5"/>
        <v>Normal</v>
      </c>
      <c r="Y326" s="17">
        <f t="shared" si="6"/>
        <v>2.309401077</v>
      </c>
    </row>
    <row r="327">
      <c r="A327" s="7" t="s">
        <v>1324</v>
      </c>
      <c r="B327" s="8" t="s">
        <v>1325</v>
      </c>
      <c r="C327" s="9" t="s">
        <v>1326</v>
      </c>
      <c r="D327" s="9" t="s">
        <v>225</v>
      </c>
      <c r="E327" s="10" t="s">
        <v>43</v>
      </c>
      <c r="F327" s="11" t="s">
        <v>43</v>
      </c>
      <c r="G327" s="12" t="s">
        <v>31</v>
      </c>
      <c r="H327" s="12" t="s">
        <v>31</v>
      </c>
      <c r="I327" s="19" t="s">
        <v>31</v>
      </c>
      <c r="J327" s="13" t="s">
        <v>31</v>
      </c>
      <c r="K327" s="14" t="s">
        <v>55</v>
      </c>
      <c r="L327" s="14" t="s">
        <v>33</v>
      </c>
      <c r="M327" s="14" t="s">
        <v>47</v>
      </c>
      <c r="N327" s="15" t="s">
        <v>48</v>
      </c>
      <c r="O327" s="14" t="s">
        <v>43</v>
      </c>
      <c r="P327" s="14" t="s">
        <v>48</v>
      </c>
      <c r="Q327" s="14" t="s">
        <v>42</v>
      </c>
      <c r="R327" s="14" t="s">
        <v>48</v>
      </c>
      <c r="S327" s="14" t="s">
        <v>42</v>
      </c>
      <c r="T327" s="14">
        <f t="shared" si="1"/>
        <v>0</v>
      </c>
      <c r="U327" s="14">
        <f t="shared" si="2"/>
        <v>4</v>
      </c>
      <c r="V327" s="14">
        <f t="shared" si="3"/>
        <v>0</v>
      </c>
      <c r="W327" s="16">
        <f t="shared" si="4"/>
        <v>1</v>
      </c>
      <c r="X327" s="14" t="str">
        <f t="shared" si="5"/>
        <v>Offensive</v>
      </c>
      <c r="Y327" s="17">
        <f t="shared" si="6"/>
        <v>2.309401077</v>
      </c>
    </row>
    <row r="328">
      <c r="A328" s="7" t="s">
        <v>1327</v>
      </c>
      <c r="B328" s="8" t="s">
        <v>1328</v>
      </c>
      <c r="C328" s="9" t="s">
        <v>1329</v>
      </c>
      <c r="D328" s="9" t="s">
        <v>66</v>
      </c>
      <c r="E328" s="10" t="s">
        <v>66</v>
      </c>
      <c r="F328" s="11" t="s">
        <v>155</v>
      </c>
      <c r="G328" s="12" t="s">
        <v>32</v>
      </c>
      <c r="H328" s="12" t="s">
        <v>31</v>
      </c>
      <c r="I328" s="19" t="s">
        <v>32</v>
      </c>
      <c r="J328" s="13" t="s">
        <v>32</v>
      </c>
      <c r="K328" s="14" t="s">
        <v>55</v>
      </c>
      <c r="L328" s="14" t="s">
        <v>34</v>
      </c>
      <c r="M328" s="14" t="s">
        <v>35</v>
      </c>
      <c r="N328" s="15" t="s">
        <v>48</v>
      </c>
      <c r="O328" s="14" t="s">
        <v>42</v>
      </c>
      <c r="P328" s="14" t="s">
        <v>36</v>
      </c>
      <c r="Q328" s="14" t="s">
        <v>115</v>
      </c>
      <c r="R328" s="14" t="s">
        <v>36</v>
      </c>
      <c r="S328" s="14" t="s">
        <v>115</v>
      </c>
      <c r="T328" s="14">
        <f t="shared" si="1"/>
        <v>0</v>
      </c>
      <c r="U328" s="14">
        <f t="shared" si="2"/>
        <v>1</v>
      </c>
      <c r="V328" s="14">
        <f t="shared" si="3"/>
        <v>3</v>
      </c>
      <c r="W328" s="16">
        <f t="shared" si="4"/>
        <v>1</v>
      </c>
      <c r="X328" s="14" t="str">
        <f t="shared" si="5"/>
        <v>Hate Speech</v>
      </c>
      <c r="Y328" s="17">
        <f t="shared" si="6"/>
        <v>1.527525232</v>
      </c>
    </row>
    <row r="329">
      <c r="A329" s="7" t="s">
        <v>1330</v>
      </c>
      <c r="B329" s="8" t="s">
        <v>1331</v>
      </c>
      <c r="C329" s="9" t="s">
        <v>1332</v>
      </c>
      <c r="D329" s="33"/>
      <c r="E329" s="10" t="s">
        <v>181</v>
      </c>
      <c r="F329" s="18" t="s">
        <v>44</v>
      </c>
      <c r="G329" s="12" t="s">
        <v>45</v>
      </c>
      <c r="H329" s="12" t="s">
        <v>45</v>
      </c>
      <c r="I329" s="19" t="s">
        <v>45</v>
      </c>
      <c r="J329" s="13" t="s">
        <v>45</v>
      </c>
      <c r="K329" s="14" t="s">
        <v>55</v>
      </c>
      <c r="L329" s="14" t="s">
        <v>46</v>
      </c>
      <c r="M329" s="14" t="s">
        <v>47</v>
      </c>
      <c r="N329" s="15" t="s">
        <v>48</v>
      </c>
      <c r="O329" s="14" t="s">
        <v>42</v>
      </c>
      <c r="P329" s="14" t="s">
        <v>48</v>
      </c>
      <c r="Q329" s="14" t="s">
        <v>42</v>
      </c>
      <c r="R329" s="14" t="s">
        <v>48</v>
      </c>
      <c r="S329" s="14" t="s">
        <v>72</v>
      </c>
      <c r="T329" s="14">
        <f t="shared" si="1"/>
        <v>4</v>
      </c>
      <c r="U329" s="14">
        <f t="shared" si="2"/>
        <v>0</v>
      </c>
      <c r="V329" s="14">
        <f t="shared" si="3"/>
        <v>0</v>
      </c>
      <c r="W329" s="16">
        <f t="shared" si="4"/>
        <v>1</v>
      </c>
      <c r="X329" s="14" t="str">
        <f t="shared" si="5"/>
        <v>Normal</v>
      </c>
      <c r="Y329" s="17">
        <f t="shared" si="6"/>
        <v>2.309401077</v>
      </c>
    </row>
    <row r="330">
      <c r="A330" s="7" t="s">
        <v>1333</v>
      </c>
      <c r="B330" s="8" t="s">
        <v>1334</v>
      </c>
      <c r="C330" s="9" t="s">
        <v>1335</v>
      </c>
      <c r="D330" s="9" t="s">
        <v>66</v>
      </c>
      <c r="E330" s="10" t="s">
        <v>110</v>
      </c>
      <c r="F330" s="18" t="s">
        <v>44</v>
      </c>
      <c r="G330" s="12" t="s">
        <v>31</v>
      </c>
      <c r="H330" s="12" t="s">
        <v>31</v>
      </c>
      <c r="I330" s="19" t="s">
        <v>32</v>
      </c>
      <c r="J330" s="13" t="s">
        <v>45</v>
      </c>
      <c r="K330" s="14" t="s">
        <v>55</v>
      </c>
      <c r="L330" s="14" t="s">
        <v>61</v>
      </c>
      <c r="M330" s="14" t="s">
        <v>35</v>
      </c>
      <c r="N330" s="15" t="s">
        <v>49</v>
      </c>
      <c r="O330" s="14" t="s">
        <v>105</v>
      </c>
      <c r="P330" s="14" t="s">
        <v>49</v>
      </c>
      <c r="Q330" s="14" t="s">
        <v>283</v>
      </c>
      <c r="R330" s="14" t="s">
        <v>36</v>
      </c>
      <c r="S330" s="14" t="s">
        <v>1336</v>
      </c>
      <c r="T330" s="14">
        <f t="shared" si="1"/>
        <v>1</v>
      </c>
      <c r="U330" s="14">
        <f t="shared" si="2"/>
        <v>2</v>
      </c>
      <c r="V330" s="14">
        <f t="shared" si="3"/>
        <v>1</v>
      </c>
      <c r="W330" s="16">
        <f t="shared" si="4"/>
        <v>1</v>
      </c>
      <c r="X330" s="14" t="b">
        <f t="shared" si="5"/>
        <v>0</v>
      </c>
      <c r="Y330" s="17">
        <f t="shared" si="6"/>
        <v>0.5773502692</v>
      </c>
    </row>
    <row r="331">
      <c r="A331" s="7" t="s">
        <v>1337</v>
      </c>
      <c r="B331" s="8" t="s">
        <v>1338</v>
      </c>
      <c r="C331" s="9" t="s">
        <v>1339</v>
      </c>
      <c r="D331" s="9" t="s">
        <v>1340</v>
      </c>
      <c r="E331" s="10" t="s">
        <v>1341</v>
      </c>
      <c r="F331" s="11" t="s">
        <v>1342</v>
      </c>
      <c r="G331" s="12" t="s">
        <v>1343</v>
      </c>
      <c r="H331" s="12" t="s">
        <v>32</v>
      </c>
      <c r="I331" s="19" t="s">
        <v>32</v>
      </c>
      <c r="J331" s="13" t="s">
        <v>32</v>
      </c>
      <c r="K331" s="14" t="s">
        <v>55</v>
      </c>
      <c r="L331" s="14" t="s">
        <v>33</v>
      </c>
      <c r="M331" s="14" t="s">
        <v>35</v>
      </c>
      <c r="N331" s="15" t="s">
        <v>48</v>
      </c>
      <c r="O331" s="14" t="s">
        <v>105</v>
      </c>
      <c r="P331" s="14" t="s">
        <v>36</v>
      </c>
      <c r="Q331" s="14" t="s">
        <v>646</v>
      </c>
      <c r="R331" s="14" t="s">
        <v>48</v>
      </c>
      <c r="S331" s="14" t="s">
        <v>42</v>
      </c>
      <c r="T331" s="14">
        <f t="shared" si="1"/>
        <v>0</v>
      </c>
      <c r="U331" s="14">
        <f t="shared" si="2"/>
        <v>0</v>
      </c>
      <c r="V331" s="14">
        <f t="shared" si="3"/>
        <v>3</v>
      </c>
      <c r="W331" s="16">
        <f t="shared" si="4"/>
        <v>0.75</v>
      </c>
      <c r="X331" s="14" t="str">
        <f t="shared" si="5"/>
        <v>Hate Speech</v>
      </c>
      <c r="Y331" s="17">
        <f t="shared" si="6"/>
        <v>1.732050808</v>
      </c>
    </row>
    <row r="332">
      <c r="A332" s="7" t="s">
        <v>1344</v>
      </c>
      <c r="B332" s="8" t="s">
        <v>1345</v>
      </c>
      <c r="C332" s="9" t="s">
        <v>1346</v>
      </c>
      <c r="D332" s="9" t="s">
        <v>1347</v>
      </c>
      <c r="E332" s="10" t="s">
        <v>264</v>
      </c>
      <c r="F332" s="11" t="s">
        <v>54</v>
      </c>
      <c r="G332" s="12" t="s">
        <v>31</v>
      </c>
      <c r="H332" s="12" t="s">
        <v>31</v>
      </c>
      <c r="I332" s="19" t="s">
        <v>31</v>
      </c>
      <c r="J332" s="13" t="s">
        <v>31</v>
      </c>
      <c r="K332" s="14" t="s">
        <v>55</v>
      </c>
      <c r="L332" s="14" t="s">
        <v>34</v>
      </c>
      <c r="M332" s="14" t="s">
        <v>47</v>
      </c>
      <c r="N332" s="15" t="s">
        <v>36</v>
      </c>
      <c r="O332" s="14" t="s">
        <v>191</v>
      </c>
      <c r="P332" s="14" t="s">
        <v>48</v>
      </c>
      <c r="Q332" s="14" t="s">
        <v>646</v>
      </c>
      <c r="R332" s="14" t="s">
        <v>36</v>
      </c>
      <c r="S332" s="14" t="s">
        <v>191</v>
      </c>
      <c r="T332" s="14">
        <f t="shared" si="1"/>
        <v>0</v>
      </c>
      <c r="U332" s="14">
        <f t="shared" si="2"/>
        <v>4</v>
      </c>
      <c r="V332" s="14">
        <f t="shared" si="3"/>
        <v>0</v>
      </c>
      <c r="W332" s="16">
        <f t="shared" si="4"/>
        <v>1</v>
      </c>
      <c r="X332" s="14" t="str">
        <f t="shared" si="5"/>
        <v>Offensive</v>
      </c>
      <c r="Y332" s="17">
        <f t="shared" si="6"/>
        <v>2.309401077</v>
      </c>
    </row>
    <row r="333">
      <c r="A333" s="7" t="s">
        <v>1348</v>
      </c>
      <c r="B333" s="8" t="s">
        <v>1349</v>
      </c>
      <c r="C333" s="9" t="s">
        <v>1350</v>
      </c>
      <c r="D333" s="9" t="s">
        <v>72</v>
      </c>
      <c r="E333" s="10" t="s">
        <v>73</v>
      </c>
      <c r="F333" s="11" t="s">
        <v>73</v>
      </c>
      <c r="G333" s="12" t="s">
        <v>45</v>
      </c>
      <c r="H333" s="12" t="s">
        <v>31</v>
      </c>
      <c r="I333" s="19" t="s">
        <v>32</v>
      </c>
      <c r="J333" s="13" t="s">
        <v>32</v>
      </c>
      <c r="K333" s="14" t="s">
        <v>55</v>
      </c>
      <c r="L333" s="14" t="s">
        <v>46</v>
      </c>
      <c r="M333" s="14" t="s">
        <v>35</v>
      </c>
      <c r="N333" s="15" t="s">
        <v>48</v>
      </c>
      <c r="O333" s="14" t="s">
        <v>42</v>
      </c>
      <c r="P333" s="14" t="s">
        <v>48</v>
      </c>
      <c r="Q333" s="14" t="s">
        <v>42</v>
      </c>
      <c r="R333" s="14" t="s">
        <v>36</v>
      </c>
      <c r="S333" s="14" t="s">
        <v>72</v>
      </c>
      <c r="T333" s="14">
        <f t="shared" si="1"/>
        <v>1</v>
      </c>
      <c r="U333" s="14">
        <f t="shared" si="2"/>
        <v>1</v>
      </c>
      <c r="V333" s="14">
        <f t="shared" si="3"/>
        <v>2</v>
      </c>
      <c r="W333" s="16">
        <f t="shared" si="4"/>
        <v>1</v>
      </c>
      <c r="X333" s="14" t="b">
        <f t="shared" si="5"/>
        <v>0</v>
      </c>
      <c r="Y333" s="17">
        <f t="shared" si="6"/>
        <v>0.5773502692</v>
      </c>
    </row>
    <row r="334">
      <c r="A334" s="7" t="s">
        <v>1351</v>
      </c>
      <c r="B334" s="8" t="s">
        <v>1352</v>
      </c>
      <c r="C334" s="9" t="s">
        <v>1353</v>
      </c>
      <c r="D334" s="9" t="s">
        <v>543</v>
      </c>
      <c r="E334" s="10" t="s">
        <v>196</v>
      </c>
      <c r="F334" s="18" t="s">
        <v>44</v>
      </c>
      <c r="G334" s="12" t="s">
        <v>31</v>
      </c>
      <c r="H334" s="12" t="s">
        <v>45</v>
      </c>
      <c r="I334" s="19" t="s">
        <v>31</v>
      </c>
      <c r="J334" s="13" t="s">
        <v>31</v>
      </c>
      <c r="K334" s="14" t="s">
        <v>55</v>
      </c>
      <c r="L334" s="14" t="s">
        <v>61</v>
      </c>
      <c r="M334" s="14" t="s">
        <v>47</v>
      </c>
      <c r="N334" s="15" t="s">
        <v>49</v>
      </c>
      <c r="O334" s="14" t="s">
        <v>42</v>
      </c>
      <c r="P334" s="14" t="s">
        <v>49</v>
      </c>
      <c r="Q334" s="14" t="s">
        <v>42</v>
      </c>
      <c r="R334" s="14" t="s">
        <v>49</v>
      </c>
      <c r="S334" s="14" t="s">
        <v>177</v>
      </c>
      <c r="T334" s="14">
        <f t="shared" si="1"/>
        <v>1</v>
      </c>
      <c r="U334" s="14">
        <f t="shared" si="2"/>
        <v>3</v>
      </c>
      <c r="V334" s="14">
        <f t="shared" si="3"/>
        <v>0</v>
      </c>
      <c r="W334" s="16">
        <f t="shared" si="4"/>
        <v>1</v>
      </c>
      <c r="X334" s="14" t="str">
        <f t="shared" si="5"/>
        <v>Offensive</v>
      </c>
      <c r="Y334" s="17">
        <f t="shared" si="6"/>
        <v>1.527525232</v>
      </c>
    </row>
    <row r="335">
      <c r="A335" s="7" t="s">
        <v>1354</v>
      </c>
      <c r="B335" s="8" t="s">
        <v>1355</v>
      </c>
      <c r="C335" s="9" t="s">
        <v>1356</v>
      </c>
      <c r="D335" s="9" t="s">
        <v>1357</v>
      </c>
      <c r="E335" s="10" t="s">
        <v>1249</v>
      </c>
      <c r="F335" s="18" t="s">
        <v>44</v>
      </c>
      <c r="G335" s="12" t="s">
        <v>45</v>
      </c>
      <c r="H335" s="12" t="s">
        <v>31</v>
      </c>
      <c r="I335" s="19" t="s">
        <v>31</v>
      </c>
      <c r="J335" s="13" t="s">
        <v>45</v>
      </c>
      <c r="K335" s="14" t="s">
        <v>55</v>
      </c>
      <c r="L335" s="14" t="s">
        <v>33</v>
      </c>
      <c r="M335" s="14" t="s">
        <v>47</v>
      </c>
      <c r="N335" s="15" t="s">
        <v>49</v>
      </c>
      <c r="O335" s="14" t="s">
        <v>105</v>
      </c>
      <c r="P335" s="14" t="s">
        <v>36</v>
      </c>
      <c r="Q335" s="14" t="s">
        <v>42</v>
      </c>
      <c r="R335" s="14" t="s">
        <v>36</v>
      </c>
      <c r="S335" s="14" t="s">
        <v>105</v>
      </c>
      <c r="T335" s="14">
        <f t="shared" si="1"/>
        <v>2</v>
      </c>
      <c r="U335" s="14">
        <f t="shared" si="2"/>
        <v>2</v>
      </c>
      <c r="V335" s="14">
        <f t="shared" si="3"/>
        <v>0</v>
      </c>
      <c r="W335" s="16">
        <f t="shared" si="4"/>
        <v>1</v>
      </c>
      <c r="X335" s="14" t="b">
        <f t="shared" si="5"/>
        <v>0</v>
      </c>
      <c r="Y335" s="17">
        <f t="shared" si="6"/>
        <v>1.154700538</v>
      </c>
    </row>
    <row r="336">
      <c r="A336" s="7" t="s">
        <v>1358</v>
      </c>
      <c r="B336" s="8" t="s">
        <v>1359</v>
      </c>
      <c r="C336" s="9" t="s">
        <v>1360</v>
      </c>
      <c r="D336" s="9" t="s">
        <v>459</v>
      </c>
      <c r="E336" s="10" t="s">
        <v>53</v>
      </c>
      <c r="F336" s="11" t="s">
        <v>54</v>
      </c>
      <c r="G336" s="12" t="s">
        <v>31</v>
      </c>
      <c r="H336" s="12" t="s">
        <v>31</v>
      </c>
      <c r="I336" s="19" t="s">
        <v>31</v>
      </c>
      <c r="J336" s="13" t="s">
        <v>31</v>
      </c>
      <c r="K336" s="14" t="s">
        <v>55</v>
      </c>
      <c r="L336" s="14" t="s">
        <v>34</v>
      </c>
      <c r="M336" s="14" t="s">
        <v>35</v>
      </c>
      <c r="N336" s="15" t="s">
        <v>49</v>
      </c>
      <c r="O336" s="14" t="s">
        <v>37</v>
      </c>
      <c r="P336" s="14" t="s">
        <v>49</v>
      </c>
      <c r="Q336" s="14" t="s">
        <v>37</v>
      </c>
      <c r="R336" s="14" t="s">
        <v>49</v>
      </c>
      <c r="S336" s="14" t="s">
        <v>105</v>
      </c>
      <c r="T336" s="14">
        <f t="shared" si="1"/>
        <v>0</v>
      </c>
      <c r="U336" s="14">
        <f t="shared" si="2"/>
        <v>4</v>
      </c>
      <c r="V336" s="14">
        <f t="shared" si="3"/>
        <v>0</v>
      </c>
      <c r="W336" s="16">
        <f t="shared" si="4"/>
        <v>1</v>
      </c>
      <c r="X336" s="14" t="str">
        <f t="shared" si="5"/>
        <v>Offensive</v>
      </c>
      <c r="Y336" s="17">
        <f t="shared" si="6"/>
        <v>2.309401077</v>
      </c>
    </row>
    <row r="337">
      <c r="A337" s="7" t="s">
        <v>1361</v>
      </c>
      <c r="B337" s="8" t="s">
        <v>1362</v>
      </c>
      <c r="C337" s="9" t="s">
        <v>1363</v>
      </c>
      <c r="D337" s="33"/>
      <c r="E337" s="10" t="s">
        <v>89</v>
      </c>
      <c r="F337" s="11" t="s">
        <v>1364</v>
      </c>
      <c r="G337" s="12" t="s">
        <v>45</v>
      </c>
      <c r="H337" s="12" t="s">
        <v>45</v>
      </c>
      <c r="I337" s="19" t="s">
        <v>31</v>
      </c>
      <c r="J337" s="13" t="s">
        <v>32</v>
      </c>
      <c r="K337" s="14" t="s">
        <v>55</v>
      </c>
      <c r="L337" s="14" t="s">
        <v>46</v>
      </c>
      <c r="M337" s="14" t="s">
        <v>35</v>
      </c>
      <c r="N337" s="15" t="s">
        <v>48</v>
      </c>
      <c r="O337" s="14" t="s">
        <v>122</v>
      </c>
      <c r="P337" s="14" t="s">
        <v>36</v>
      </c>
      <c r="Q337" s="14" t="s">
        <v>283</v>
      </c>
      <c r="R337" s="14" t="s">
        <v>48</v>
      </c>
      <c r="S337" s="14" t="s">
        <v>42</v>
      </c>
      <c r="T337" s="14">
        <f t="shared" si="1"/>
        <v>2</v>
      </c>
      <c r="U337" s="14">
        <f t="shared" si="2"/>
        <v>1</v>
      </c>
      <c r="V337" s="14">
        <f t="shared" si="3"/>
        <v>1</v>
      </c>
      <c r="W337" s="16">
        <f t="shared" si="4"/>
        <v>1</v>
      </c>
      <c r="X337" s="14" t="b">
        <f t="shared" si="5"/>
        <v>0</v>
      </c>
      <c r="Y337" s="17">
        <f t="shared" si="6"/>
        <v>0.5773502692</v>
      </c>
    </row>
    <row r="338">
      <c r="A338" s="7" t="s">
        <v>1365</v>
      </c>
      <c r="B338" s="8" t="s">
        <v>1366</v>
      </c>
      <c r="C338" s="9" t="s">
        <v>1367</v>
      </c>
      <c r="D338" s="9" t="s">
        <v>42</v>
      </c>
      <c r="E338" s="10" t="s">
        <v>1368</v>
      </c>
      <c r="F338" s="18" t="s">
        <v>44</v>
      </c>
      <c r="G338" s="12" t="s">
        <v>45</v>
      </c>
      <c r="H338" s="12" t="s">
        <v>45</v>
      </c>
      <c r="I338" s="19" t="s">
        <v>31</v>
      </c>
      <c r="J338" s="13" t="s">
        <v>45</v>
      </c>
      <c r="K338" s="14" t="s">
        <v>55</v>
      </c>
      <c r="L338" s="14" t="s">
        <v>61</v>
      </c>
      <c r="M338" s="14" t="s">
        <v>47</v>
      </c>
      <c r="N338" s="15" t="s">
        <v>49</v>
      </c>
      <c r="O338" s="14" t="s">
        <v>37</v>
      </c>
      <c r="P338" s="14" t="s">
        <v>49</v>
      </c>
      <c r="Q338" s="14" t="s">
        <v>105</v>
      </c>
      <c r="R338" s="14" t="s">
        <v>48</v>
      </c>
      <c r="S338" s="14" t="s">
        <v>42</v>
      </c>
      <c r="T338" s="14">
        <f t="shared" si="1"/>
        <v>3</v>
      </c>
      <c r="U338" s="14">
        <f t="shared" si="2"/>
        <v>1</v>
      </c>
      <c r="V338" s="14">
        <f t="shared" si="3"/>
        <v>0</v>
      </c>
      <c r="W338" s="16">
        <f t="shared" si="4"/>
        <v>1</v>
      </c>
      <c r="X338" s="14" t="str">
        <f t="shared" si="5"/>
        <v>Normal</v>
      </c>
      <c r="Y338" s="17">
        <f t="shared" si="6"/>
        <v>1.527525232</v>
      </c>
    </row>
    <row r="339">
      <c r="A339" s="7" t="s">
        <v>1369</v>
      </c>
      <c r="B339" s="8" t="s">
        <v>1370</v>
      </c>
      <c r="C339" s="9" t="s">
        <v>1371</v>
      </c>
      <c r="D339" s="33"/>
      <c r="E339" s="10" t="s">
        <v>181</v>
      </c>
      <c r="F339" s="18" t="s">
        <v>44</v>
      </c>
      <c r="G339" s="12" t="s">
        <v>45</v>
      </c>
      <c r="H339" s="12" t="s">
        <v>45</v>
      </c>
      <c r="I339" s="19" t="s">
        <v>45</v>
      </c>
      <c r="J339" s="13" t="s">
        <v>45</v>
      </c>
      <c r="K339" s="14" t="s">
        <v>55</v>
      </c>
      <c r="L339" s="14" t="s">
        <v>33</v>
      </c>
      <c r="M339" s="14" t="s">
        <v>47</v>
      </c>
      <c r="N339" s="15" t="s">
        <v>48</v>
      </c>
      <c r="O339" s="14" t="s">
        <v>42</v>
      </c>
      <c r="P339" s="14" t="s">
        <v>48</v>
      </c>
      <c r="Q339" s="14" t="s">
        <v>115</v>
      </c>
      <c r="R339" s="14" t="s">
        <v>48</v>
      </c>
      <c r="S339" s="14" t="s">
        <v>115</v>
      </c>
      <c r="T339" s="14">
        <f t="shared" si="1"/>
        <v>4</v>
      </c>
      <c r="U339" s="14">
        <f t="shared" si="2"/>
        <v>0</v>
      </c>
      <c r="V339" s="14">
        <f t="shared" si="3"/>
        <v>0</v>
      </c>
      <c r="W339" s="16">
        <f t="shared" si="4"/>
        <v>1</v>
      </c>
      <c r="X339" s="14" t="str">
        <f t="shared" si="5"/>
        <v>Normal</v>
      </c>
      <c r="Y339" s="17">
        <f t="shared" si="6"/>
        <v>2.309401077</v>
      </c>
    </row>
    <row r="340">
      <c r="A340" s="7" t="s">
        <v>1372</v>
      </c>
      <c r="B340" s="8" t="s">
        <v>1373</v>
      </c>
      <c r="C340" s="9" t="s">
        <v>1374</v>
      </c>
      <c r="D340" s="9" t="s">
        <v>1375</v>
      </c>
      <c r="E340" s="24"/>
      <c r="F340" s="11" t="s">
        <v>1376</v>
      </c>
      <c r="G340" s="12" t="s">
        <v>32</v>
      </c>
      <c r="H340" s="12" t="s">
        <v>32</v>
      </c>
      <c r="I340" s="19" t="s">
        <v>45</v>
      </c>
      <c r="J340" s="13" t="s">
        <v>31</v>
      </c>
      <c r="K340" s="14" t="s">
        <v>55</v>
      </c>
      <c r="L340" s="14" t="s">
        <v>34</v>
      </c>
      <c r="M340" s="14" t="s">
        <v>47</v>
      </c>
      <c r="N340" s="15" t="s">
        <v>49</v>
      </c>
      <c r="O340" s="14" t="s">
        <v>79</v>
      </c>
      <c r="P340" s="14" t="s">
        <v>36</v>
      </c>
      <c r="Q340" s="14" t="s">
        <v>79</v>
      </c>
      <c r="R340" s="14" t="s">
        <v>49</v>
      </c>
      <c r="S340" s="14" t="s">
        <v>79</v>
      </c>
      <c r="T340" s="14">
        <f t="shared" si="1"/>
        <v>1</v>
      </c>
      <c r="U340" s="14">
        <f t="shared" si="2"/>
        <v>1</v>
      </c>
      <c r="V340" s="14">
        <f t="shared" si="3"/>
        <v>2</v>
      </c>
      <c r="W340" s="16">
        <f t="shared" si="4"/>
        <v>1</v>
      </c>
      <c r="X340" s="14" t="b">
        <f t="shared" si="5"/>
        <v>0</v>
      </c>
      <c r="Y340" s="17">
        <f t="shared" si="6"/>
        <v>0.5773502692</v>
      </c>
    </row>
    <row r="341">
      <c r="A341" s="7" t="s">
        <v>1377</v>
      </c>
      <c r="B341" s="8" t="s">
        <v>1378</v>
      </c>
      <c r="C341" s="9" t="s">
        <v>1379</v>
      </c>
      <c r="D341" s="9" t="s">
        <v>83</v>
      </c>
      <c r="E341" s="10" t="s">
        <v>1380</v>
      </c>
      <c r="F341" s="11" t="s">
        <v>121</v>
      </c>
      <c r="G341" s="12" t="s">
        <v>31</v>
      </c>
      <c r="H341" s="12" t="s">
        <v>31</v>
      </c>
      <c r="I341" s="19" t="s">
        <v>32</v>
      </c>
      <c r="J341" s="13" t="s">
        <v>31</v>
      </c>
      <c r="K341" s="14" t="s">
        <v>55</v>
      </c>
      <c r="L341" s="14" t="s">
        <v>46</v>
      </c>
      <c r="M341" s="14" t="s">
        <v>35</v>
      </c>
      <c r="N341" s="15" t="s">
        <v>49</v>
      </c>
      <c r="O341" s="14" t="s">
        <v>83</v>
      </c>
      <c r="P341" s="14" t="s">
        <v>49</v>
      </c>
      <c r="Q341" s="14" t="s">
        <v>122</v>
      </c>
      <c r="R341" s="14" t="s">
        <v>49</v>
      </c>
      <c r="S341" s="14" t="s">
        <v>83</v>
      </c>
      <c r="T341" s="14">
        <f t="shared" si="1"/>
        <v>0</v>
      </c>
      <c r="U341" s="14">
        <f t="shared" si="2"/>
        <v>3</v>
      </c>
      <c r="V341" s="14">
        <f t="shared" si="3"/>
        <v>1</v>
      </c>
      <c r="W341" s="16">
        <f t="shared" si="4"/>
        <v>1</v>
      </c>
      <c r="X341" s="14" t="str">
        <f t="shared" si="5"/>
        <v>Offensive</v>
      </c>
      <c r="Y341" s="17">
        <f t="shared" si="6"/>
        <v>1.527525232</v>
      </c>
    </row>
    <row r="342">
      <c r="A342" s="7" t="s">
        <v>1381</v>
      </c>
      <c r="B342" s="8" t="s">
        <v>1382</v>
      </c>
      <c r="C342" s="9" t="s">
        <v>1383</v>
      </c>
      <c r="D342" s="9" t="s">
        <v>347</v>
      </c>
      <c r="E342" s="10" t="s">
        <v>1384</v>
      </c>
      <c r="F342" s="18" t="s">
        <v>44</v>
      </c>
      <c r="G342" s="12" t="s">
        <v>45</v>
      </c>
      <c r="H342" s="12" t="s">
        <v>45</v>
      </c>
      <c r="I342" s="19" t="s">
        <v>45</v>
      </c>
      <c r="J342" s="13" t="s">
        <v>45</v>
      </c>
      <c r="K342" s="14" t="s">
        <v>55</v>
      </c>
      <c r="L342" s="14" t="s">
        <v>61</v>
      </c>
      <c r="M342" s="14" t="s">
        <v>47</v>
      </c>
      <c r="N342" s="15" t="s">
        <v>49</v>
      </c>
      <c r="O342" s="14" t="s">
        <v>508</v>
      </c>
      <c r="P342" s="14" t="s">
        <v>49</v>
      </c>
      <c r="Q342" s="14" t="s">
        <v>838</v>
      </c>
      <c r="R342" s="14" t="s">
        <v>49</v>
      </c>
      <c r="S342" s="14" t="s">
        <v>42</v>
      </c>
      <c r="T342" s="14">
        <f t="shared" si="1"/>
        <v>4</v>
      </c>
      <c r="U342" s="14">
        <f t="shared" si="2"/>
        <v>0</v>
      </c>
      <c r="V342" s="14">
        <f t="shared" si="3"/>
        <v>0</v>
      </c>
      <c r="W342" s="16">
        <f t="shared" si="4"/>
        <v>1</v>
      </c>
      <c r="X342" s="14" t="str">
        <f t="shared" si="5"/>
        <v>Normal</v>
      </c>
      <c r="Y342" s="17">
        <f t="shared" si="6"/>
        <v>2.309401077</v>
      </c>
    </row>
    <row r="343">
      <c r="A343" s="7" t="s">
        <v>1385</v>
      </c>
      <c r="B343" s="8" t="s">
        <v>1386</v>
      </c>
      <c r="C343" s="9" t="s">
        <v>1387</v>
      </c>
      <c r="D343" s="33"/>
      <c r="E343" s="10" t="s">
        <v>181</v>
      </c>
      <c r="F343" s="18" t="s">
        <v>44</v>
      </c>
      <c r="G343" s="12" t="s">
        <v>45</v>
      </c>
      <c r="H343" s="12" t="s">
        <v>45</v>
      </c>
      <c r="I343" s="19" t="s">
        <v>31</v>
      </c>
      <c r="J343" s="13" t="s">
        <v>45</v>
      </c>
      <c r="K343" s="14" t="s">
        <v>55</v>
      </c>
      <c r="L343" s="14" t="s">
        <v>33</v>
      </c>
      <c r="M343" s="14" t="s">
        <v>47</v>
      </c>
      <c r="N343" s="15" t="s">
        <v>48</v>
      </c>
      <c r="O343" s="14" t="s">
        <v>42</v>
      </c>
      <c r="P343" s="14" t="s">
        <v>48</v>
      </c>
      <c r="Q343" s="14" t="s">
        <v>42</v>
      </c>
      <c r="R343" s="14" t="s">
        <v>48</v>
      </c>
      <c r="S343" s="14" t="s">
        <v>42</v>
      </c>
      <c r="T343" s="14">
        <f t="shared" si="1"/>
        <v>3</v>
      </c>
      <c r="U343" s="14">
        <f t="shared" si="2"/>
        <v>1</v>
      </c>
      <c r="V343" s="14">
        <f t="shared" si="3"/>
        <v>0</v>
      </c>
      <c r="W343" s="16">
        <f t="shared" si="4"/>
        <v>1</v>
      </c>
      <c r="X343" s="14" t="str">
        <f t="shared" si="5"/>
        <v>Normal</v>
      </c>
      <c r="Y343" s="17">
        <f t="shared" si="6"/>
        <v>1.527525232</v>
      </c>
    </row>
    <row r="344">
      <c r="A344" s="7" t="s">
        <v>1388</v>
      </c>
      <c r="B344" s="8" t="s">
        <v>1389</v>
      </c>
      <c r="C344" s="9" t="s">
        <v>1390</v>
      </c>
      <c r="D344" s="9" t="s">
        <v>66</v>
      </c>
      <c r="E344" s="10" t="s">
        <v>66</v>
      </c>
      <c r="F344" s="18" t="s">
        <v>44</v>
      </c>
      <c r="G344" s="12" t="s">
        <v>31</v>
      </c>
      <c r="H344" s="12" t="s">
        <v>31</v>
      </c>
      <c r="I344" s="19" t="s">
        <v>32</v>
      </c>
      <c r="J344" s="13" t="s">
        <v>45</v>
      </c>
      <c r="K344" s="14" t="s">
        <v>55</v>
      </c>
      <c r="L344" s="14" t="s">
        <v>34</v>
      </c>
      <c r="M344" s="14" t="s">
        <v>35</v>
      </c>
      <c r="N344" s="15" t="s">
        <v>49</v>
      </c>
      <c r="O344" s="14" t="s">
        <v>115</v>
      </c>
      <c r="P344" s="14" t="s">
        <v>49</v>
      </c>
      <c r="Q344" s="14" t="s">
        <v>1391</v>
      </c>
      <c r="R344" s="14" t="s">
        <v>48</v>
      </c>
      <c r="S344" s="14" t="s">
        <v>42</v>
      </c>
      <c r="T344" s="14">
        <f t="shared" si="1"/>
        <v>1</v>
      </c>
      <c r="U344" s="14">
        <f t="shared" si="2"/>
        <v>2</v>
      </c>
      <c r="V344" s="14">
        <f t="shared" si="3"/>
        <v>1</v>
      </c>
      <c r="W344" s="16">
        <f t="shared" si="4"/>
        <v>1</v>
      </c>
      <c r="X344" s="14" t="b">
        <f t="shared" si="5"/>
        <v>0</v>
      </c>
      <c r="Y344" s="17">
        <f t="shared" si="6"/>
        <v>0.5773502692</v>
      </c>
    </row>
    <row r="345">
      <c r="A345" s="7" t="s">
        <v>1392</v>
      </c>
      <c r="B345" s="8" t="s">
        <v>1393</v>
      </c>
      <c r="C345" s="9" t="s">
        <v>1394</v>
      </c>
      <c r="D345" s="33"/>
      <c r="E345" s="10" t="s">
        <v>1395</v>
      </c>
      <c r="F345" s="18" t="s">
        <v>44</v>
      </c>
      <c r="G345" s="12" t="s">
        <v>45</v>
      </c>
      <c r="H345" s="12" t="s">
        <v>45</v>
      </c>
      <c r="I345" s="19" t="s">
        <v>31</v>
      </c>
      <c r="J345" s="13" t="s">
        <v>45</v>
      </c>
      <c r="K345" s="14" t="s">
        <v>55</v>
      </c>
      <c r="L345" s="14" t="s">
        <v>46</v>
      </c>
      <c r="M345" s="14" t="s">
        <v>47</v>
      </c>
      <c r="N345" s="15" t="s">
        <v>49</v>
      </c>
      <c r="O345" s="14" t="s">
        <v>508</v>
      </c>
      <c r="P345" s="14" t="s">
        <v>49</v>
      </c>
      <c r="Q345" s="14" t="s">
        <v>62</v>
      </c>
      <c r="R345" s="14" t="s">
        <v>49</v>
      </c>
      <c r="S345" s="14" t="s">
        <v>62</v>
      </c>
      <c r="T345" s="14">
        <f t="shared" si="1"/>
        <v>3</v>
      </c>
      <c r="U345" s="14">
        <f t="shared" si="2"/>
        <v>1</v>
      </c>
      <c r="V345" s="14">
        <f t="shared" si="3"/>
        <v>0</v>
      </c>
      <c r="W345" s="16">
        <f t="shared" si="4"/>
        <v>1</v>
      </c>
      <c r="X345" s="14" t="str">
        <f t="shared" si="5"/>
        <v>Normal</v>
      </c>
      <c r="Y345" s="17">
        <f t="shared" si="6"/>
        <v>1.527525232</v>
      </c>
    </row>
    <row r="346">
      <c r="A346" s="7" t="s">
        <v>1396</v>
      </c>
      <c r="B346" s="8" t="s">
        <v>1397</v>
      </c>
      <c r="C346" s="9" t="s">
        <v>1398</v>
      </c>
      <c r="D346" s="9" t="s">
        <v>1067</v>
      </c>
      <c r="E346" s="10" t="s">
        <v>217</v>
      </c>
      <c r="F346" s="18" t="s">
        <v>44</v>
      </c>
      <c r="G346" s="12" t="s">
        <v>31</v>
      </c>
      <c r="H346" s="12" t="s">
        <v>45</v>
      </c>
      <c r="I346" s="19" t="s">
        <v>31</v>
      </c>
      <c r="J346" s="13" t="s">
        <v>45</v>
      </c>
      <c r="K346" s="14" t="s">
        <v>55</v>
      </c>
      <c r="L346" s="14" t="s">
        <v>61</v>
      </c>
      <c r="M346" s="14" t="s">
        <v>47</v>
      </c>
      <c r="N346" s="15" t="s">
        <v>49</v>
      </c>
      <c r="O346" s="14" t="s">
        <v>43</v>
      </c>
      <c r="P346" s="14" t="s">
        <v>49</v>
      </c>
      <c r="Q346" s="14" t="s">
        <v>43</v>
      </c>
      <c r="R346" s="14" t="s">
        <v>48</v>
      </c>
      <c r="S346" s="14" t="s">
        <v>42</v>
      </c>
      <c r="T346" s="14">
        <f t="shared" si="1"/>
        <v>2</v>
      </c>
      <c r="U346" s="14">
        <f t="shared" si="2"/>
        <v>2</v>
      </c>
      <c r="V346" s="14">
        <f t="shared" si="3"/>
        <v>0</v>
      </c>
      <c r="W346" s="16">
        <f t="shared" si="4"/>
        <v>1</v>
      </c>
      <c r="X346" s="14" t="b">
        <f t="shared" si="5"/>
        <v>0</v>
      </c>
      <c r="Y346" s="17">
        <f t="shared" si="6"/>
        <v>1.154700538</v>
      </c>
    </row>
    <row r="347">
      <c r="A347" s="7" t="s">
        <v>1399</v>
      </c>
      <c r="B347" s="8" t="s">
        <v>1400</v>
      </c>
      <c r="C347" s="9" t="s">
        <v>1401</v>
      </c>
      <c r="D347" s="33"/>
      <c r="E347" s="10" t="s">
        <v>1249</v>
      </c>
      <c r="F347" s="18" t="s">
        <v>44</v>
      </c>
      <c r="G347" s="12" t="s">
        <v>45</v>
      </c>
      <c r="H347" s="12" t="s">
        <v>45</v>
      </c>
      <c r="I347" s="19" t="s">
        <v>45</v>
      </c>
      <c r="J347" s="13" t="s">
        <v>45</v>
      </c>
      <c r="K347" s="14" t="s">
        <v>55</v>
      </c>
      <c r="L347" s="14" t="s">
        <v>33</v>
      </c>
      <c r="M347" s="14" t="s">
        <v>35</v>
      </c>
      <c r="N347" s="15" t="s">
        <v>49</v>
      </c>
      <c r="O347" s="14" t="s">
        <v>105</v>
      </c>
      <c r="P347" s="14" t="s">
        <v>48</v>
      </c>
      <c r="Q347" s="14" t="s">
        <v>105</v>
      </c>
      <c r="R347" s="14" t="s">
        <v>48</v>
      </c>
      <c r="S347" s="14" t="s">
        <v>42</v>
      </c>
      <c r="T347" s="14">
        <f t="shared" si="1"/>
        <v>4</v>
      </c>
      <c r="U347" s="14">
        <f t="shared" si="2"/>
        <v>0</v>
      </c>
      <c r="V347" s="14">
        <f t="shared" si="3"/>
        <v>0</v>
      </c>
      <c r="W347" s="16">
        <f t="shared" si="4"/>
        <v>1</v>
      </c>
      <c r="X347" s="14" t="str">
        <f t="shared" si="5"/>
        <v>Normal</v>
      </c>
      <c r="Y347" s="17">
        <f t="shared" si="6"/>
        <v>2.309401077</v>
      </c>
    </row>
    <row r="348">
      <c r="A348" s="7" t="s">
        <v>1402</v>
      </c>
      <c r="B348" s="8" t="s">
        <v>1403</v>
      </c>
      <c r="C348" s="9" t="s">
        <v>1404</v>
      </c>
      <c r="D348" s="9" t="s">
        <v>66</v>
      </c>
      <c r="E348" s="10" t="s">
        <v>66</v>
      </c>
      <c r="F348" s="11" t="s">
        <v>155</v>
      </c>
      <c r="G348" s="12" t="s">
        <v>32</v>
      </c>
      <c r="H348" s="12" t="s">
        <v>32</v>
      </c>
      <c r="I348" s="19" t="s">
        <v>32</v>
      </c>
      <c r="J348" s="13" t="s">
        <v>32</v>
      </c>
      <c r="K348" s="14" t="s">
        <v>55</v>
      </c>
      <c r="L348" s="14" t="s">
        <v>34</v>
      </c>
      <c r="M348" s="14" t="s">
        <v>35</v>
      </c>
      <c r="N348" s="15" t="s">
        <v>36</v>
      </c>
      <c r="O348" s="14" t="s">
        <v>115</v>
      </c>
      <c r="P348" s="14" t="s">
        <v>36</v>
      </c>
      <c r="Q348" s="14" t="s">
        <v>115</v>
      </c>
      <c r="R348" s="14" t="s">
        <v>49</v>
      </c>
      <c r="S348" s="14" t="s">
        <v>115</v>
      </c>
      <c r="T348" s="14">
        <f t="shared" si="1"/>
        <v>0</v>
      </c>
      <c r="U348" s="14">
        <f t="shared" si="2"/>
        <v>0</v>
      </c>
      <c r="V348" s="14">
        <f t="shared" si="3"/>
        <v>4</v>
      </c>
      <c r="W348" s="16">
        <f t="shared" si="4"/>
        <v>1</v>
      </c>
      <c r="X348" s="14" t="str">
        <f t="shared" si="5"/>
        <v>Hate Speech</v>
      </c>
      <c r="Y348" s="17">
        <f t="shared" si="6"/>
        <v>2.309401077</v>
      </c>
    </row>
    <row r="349">
      <c r="A349" s="7" t="s">
        <v>1405</v>
      </c>
      <c r="B349" s="8" t="s">
        <v>1406</v>
      </c>
      <c r="C349" s="9" t="s">
        <v>1407</v>
      </c>
      <c r="D349" s="33"/>
      <c r="E349" s="10" t="s">
        <v>1408</v>
      </c>
      <c r="F349" s="11" t="s">
        <v>1409</v>
      </c>
      <c r="G349" s="12" t="s">
        <v>31</v>
      </c>
      <c r="H349" s="12" t="s">
        <v>31</v>
      </c>
      <c r="I349" s="19" t="s">
        <v>32</v>
      </c>
      <c r="J349" s="13" t="s">
        <v>32</v>
      </c>
      <c r="K349" s="14" t="s">
        <v>55</v>
      </c>
      <c r="L349" s="14" t="s">
        <v>46</v>
      </c>
      <c r="M349" s="14" t="s">
        <v>35</v>
      </c>
      <c r="N349" s="15" t="s">
        <v>36</v>
      </c>
      <c r="O349" s="14" t="s">
        <v>1410</v>
      </c>
      <c r="P349" s="14" t="s">
        <v>49</v>
      </c>
      <c r="Q349" s="14" t="s">
        <v>37</v>
      </c>
      <c r="R349" s="14" t="s">
        <v>36</v>
      </c>
      <c r="S349" s="14" t="s">
        <v>1411</v>
      </c>
      <c r="T349" s="14">
        <f t="shared" si="1"/>
        <v>0</v>
      </c>
      <c r="U349" s="14">
        <f t="shared" si="2"/>
        <v>2</v>
      </c>
      <c r="V349" s="14">
        <f t="shared" si="3"/>
        <v>2</v>
      </c>
      <c r="W349" s="16">
        <f t="shared" si="4"/>
        <v>1</v>
      </c>
      <c r="X349" s="14" t="b">
        <f t="shared" si="5"/>
        <v>0</v>
      </c>
      <c r="Y349" s="17">
        <f t="shared" si="6"/>
        <v>1.154700538</v>
      </c>
    </row>
    <row r="350">
      <c r="A350" s="7" t="s">
        <v>1412</v>
      </c>
      <c r="B350" s="8" t="s">
        <v>1413</v>
      </c>
      <c r="C350" s="9" t="s">
        <v>1414</v>
      </c>
      <c r="D350" s="9" t="s">
        <v>72</v>
      </c>
      <c r="E350" s="10" t="s">
        <v>269</v>
      </c>
      <c r="F350" s="11" t="s">
        <v>73</v>
      </c>
      <c r="G350" s="12" t="s">
        <v>32</v>
      </c>
      <c r="H350" s="12" t="s">
        <v>45</v>
      </c>
      <c r="I350" s="19" t="s">
        <v>32</v>
      </c>
      <c r="J350" s="13" t="s">
        <v>32</v>
      </c>
      <c r="K350" s="14" t="s">
        <v>55</v>
      </c>
      <c r="L350" s="14" t="s">
        <v>61</v>
      </c>
      <c r="M350" s="14" t="s">
        <v>35</v>
      </c>
      <c r="N350" s="15" t="s">
        <v>36</v>
      </c>
      <c r="O350" s="14" t="s">
        <v>72</v>
      </c>
      <c r="P350" s="14" t="s">
        <v>49</v>
      </c>
      <c r="Q350" s="14" t="s">
        <v>72</v>
      </c>
      <c r="R350" s="14" t="s">
        <v>36</v>
      </c>
      <c r="S350" s="14" t="s">
        <v>72</v>
      </c>
      <c r="T350" s="14">
        <f t="shared" si="1"/>
        <v>1</v>
      </c>
      <c r="U350" s="14">
        <f t="shared" si="2"/>
        <v>0</v>
      </c>
      <c r="V350" s="14">
        <f t="shared" si="3"/>
        <v>3</v>
      </c>
      <c r="W350" s="16">
        <f t="shared" si="4"/>
        <v>1</v>
      </c>
      <c r="X350" s="14" t="str">
        <f t="shared" si="5"/>
        <v>Hate Speech</v>
      </c>
      <c r="Y350" s="17">
        <f t="shared" si="6"/>
        <v>1.527525232</v>
      </c>
    </row>
    <row r="351">
      <c r="A351" s="7" t="s">
        <v>1415</v>
      </c>
      <c r="B351" s="8" t="s">
        <v>1416</v>
      </c>
      <c r="C351" s="9" t="s">
        <v>1417</v>
      </c>
      <c r="D351" s="34" t="s">
        <v>216</v>
      </c>
      <c r="E351" s="10" t="s">
        <v>1418</v>
      </c>
      <c r="F351" s="18" t="s">
        <v>44</v>
      </c>
      <c r="G351" s="12" t="s">
        <v>31</v>
      </c>
      <c r="H351" s="12" t="s">
        <v>31</v>
      </c>
      <c r="I351" s="19" t="s">
        <v>32</v>
      </c>
      <c r="J351" s="13" t="s">
        <v>45</v>
      </c>
      <c r="K351" s="14" t="s">
        <v>55</v>
      </c>
      <c r="L351" s="14" t="s">
        <v>33</v>
      </c>
      <c r="M351" s="14" t="s">
        <v>35</v>
      </c>
      <c r="N351" s="15" t="s">
        <v>49</v>
      </c>
      <c r="O351" s="14" t="s">
        <v>42</v>
      </c>
      <c r="P351" s="14" t="s">
        <v>36</v>
      </c>
      <c r="Q351" s="14" t="s">
        <v>105</v>
      </c>
      <c r="R351" s="14" t="s">
        <v>49</v>
      </c>
      <c r="S351" s="14" t="s">
        <v>62</v>
      </c>
      <c r="T351" s="14">
        <f t="shared" si="1"/>
        <v>1</v>
      </c>
      <c r="U351" s="14">
        <f t="shared" si="2"/>
        <v>2</v>
      </c>
      <c r="V351" s="14">
        <f t="shared" si="3"/>
        <v>1</v>
      </c>
      <c r="W351" s="16">
        <f t="shared" si="4"/>
        <v>1</v>
      </c>
      <c r="X351" s="14" t="b">
        <f t="shared" si="5"/>
        <v>0</v>
      </c>
      <c r="Y351" s="17">
        <f t="shared" si="6"/>
        <v>0.5773502692</v>
      </c>
    </row>
    <row r="352">
      <c r="A352" s="7" t="s">
        <v>1419</v>
      </c>
      <c r="B352" s="8" t="s">
        <v>1420</v>
      </c>
      <c r="C352" s="9" t="s">
        <v>1421</v>
      </c>
      <c r="D352" s="26" t="s">
        <v>42</v>
      </c>
      <c r="E352" s="10" t="s">
        <v>83</v>
      </c>
      <c r="F352" s="18" t="s">
        <v>44</v>
      </c>
      <c r="G352" s="12" t="s">
        <v>45</v>
      </c>
      <c r="H352" s="12" t="s">
        <v>45</v>
      </c>
      <c r="I352" s="19" t="s">
        <v>31</v>
      </c>
      <c r="J352" s="13" t="s">
        <v>45</v>
      </c>
      <c r="K352" s="14" t="s">
        <v>55</v>
      </c>
      <c r="L352" s="14" t="s">
        <v>34</v>
      </c>
      <c r="M352" s="14" t="s">
        <v>47</v>
      </c>
      <c r="N352" s="15" t="s">
        <v>48</v>
      </c>
      <c r="O352" s="14" t="s">
        <v>83</v>
      </c>
      <c r="P352" s="14" t="s">
        <v>48</v>
      </c>
      <c r="Q352" s="14" t="s">
        <v>83</v>
      </c>
      <c r="R352" s="14" t="s">
        <v>49</v>
      </c>
      <c r="S352" s="14" t="s">
        <v>83</v>
      </c>
      <c r="T352" s="14">
        <f t="shared" si="1"/>
        <v>3</v>
      </c>
      <c r="U352" s="14">
        <f t="shared" si="2"/>
        <v>1</v>
      </c>
      <c r="V352" s="14">
        <f t="shared" si="3"/>
        <v>0</v>
      </c>
      <c r="W352" s="16">
        <f t="shared" si="4"/>
        <v>1</v>
      </c>
      <c r="X352" s="14" t="str">
        <f t="shared" si="5"/>
        <v>Normal</v>
      </c>
      <c r="Y352" s="17">
        <f t="shared" si="6"/>
        <v>1.527525232</v>
      </c>
    </row>
    <row r="353">
      <c r="A353" s="7" t="s">
        <v>1422</v>
      </c>
      <c r="B353" s="8" t="s">
        <v>1423</v>
      </c>
      <c r="C353" s="9" t="s">
        <v>1424</v>
      </c>
      <c r="D353" s="9" t="s">
        <v>374</v>
      </c>
      <c r="E353" s="10" t="s">
        <v>181</v>
      </c>
      <c r="F353" s="18" t="s">
        <v>44</v>
      </c>
      <c r="G353" s="12" t="s">
        <v>31</v>
      </c>
      <c r="H353" s="12" t="s">
        <v>31</v>
      </c>
      <c r="I353" s="19" t="s">
        <v>32</v>
      </c>
      <c r="J353" s="13" t="s">
        <v>45</v>
      </c>
      <c r="K353" s="14" t="s">
        <v>55</v>
      </c>
      <c r="L353" s="14" t="s">
        <v>46</v>
      </c>
      <c r="M353" s="14" t="s">
        <v>35</v>
      </c>
      <c r="N353" s="15" t="s">
        <v>48</v>
      </c>
      <c r="O353" s="14" t="s">
        <v>42</v>
      </c>
      <c r="P353" s="14" t="s">
        <v>49</v>
      </c>
      <c r="Q353" s="14" t="s">
        <v>259</v>
      </c>
      <c r="R353" s="14" t="s">
        <v>49</v>
      </c>
      <c r="S353" s="14" t="s">
        <v>115</v>
      </c>
      <c r="T353" s="14">
        <f t="shared" si="1"/>
        <v>1</v>
      </c>
      <c r="U353" s="14">
        <f t="shared" si="2"/>
        <v>2</v>
      </c>
      <c r="V353" s="14">
        <f t="shared" si="3"/>
        <v>1</v>
      </c>
      <c r="W353" s="16">
        <f t="shared" si="4"/>
        <v>1</v>
      </c>
      <c r="X353" s="14" t="b">
        <f t="shared" si="5"/>
        <v>0</v>
      </c>
      <c r="Y353" s="17">
        <f t="shared" si="6"/>
        <v>0.5773502692</v>
      </c>
    </row>
    <row r="354">
      <c r="A354" s="7" t="s">
        <v>1425</v>
      </c>
      <c r="B354" s="8" t="s">
        <v>1426</v>
      </c>
      <c r="C354" s="9" t="s">
        <v>1427</v>
      </c>
      <c r="D354" s="9" t="s">
        <v>66</v>
      </c>
      <c r="E354" s="10" t="s">
        <v>217</v>
      </c>
      <c r="F354" s="18" t="s">
        <v>44</v>
      </c>
      <c r="G354" s="12" t="s">
        <v>45</v>
      </c>
      <c r="H354" s="12" t="s">
        <v>45</v>
      </c>
      <c r="I354" s="19" t="s">
        <v>32</v>
      </c>
      <c r="J354" s="13" t="s">
        <v>45</v>
      </c>
      <c r="K354" s="14" t="s">
        <v>55</v>
      </c>
      <c r="L354" s="14" t="s">
        <v>61</v>
      </c>
      <c r="M354" s="14" t="s">
        <v>35</v>
      </c>
      <c r="N354" s="15" t="s">
        <v>49</v>
      </c>
      <c r="O354" s="14" t="s">
        <v>115</v>
      </c>
      <c r="P354" s="14" t="s">
        <v>36</v>
      </c>
      <c r="Q354" s="14" t="s">
        <v>115</v>
      </c>
      <c r="R354" s="14" t="s">
        <v>49</v>
      </c>
      <c r="S354" s="14" t="s">
        <v>115</v>
      </c>
      <c r="T354" s="14">
        <f t="shared" si="1"/>
        <v>3</v>
      </c>
      <c r="U354" s="14">
        <f t="shared" si="2"/>
        <v>0</v>
      </c>
      <c r="V354" s="14">
        <f t="shared" si="3"/>
        <v>1</v>
      </c>
      <c r="W354" s="16">
        <f t="shared" si="4"/>
        <v>1</v>
      </c>
      <c r="X354" s="14" t="str">
        <f t="shared" si="5"/>
        <v>Normal</v>
      </c>
      <c r="Y354" s="17">
        <f t="shared" si="6"/>
        <v>1.527525232</v>
      </c>
    </row>
    <row r="355">
      <c r="A355" s="7" t="s">
        <v>1428</v>
      </c>
      <c r="B355" s="8" t="s">
        <v>1429</v>
      </c>
      <c r="C355" s="9" t="s">
        <v>1430</v>
      </c>
      <c r="D355" s="33"/>
      <c r="E355" s="10" t="s">
        <v>181</v>
      </c>
      <c r="F355" s="18" t="s">
        <v>44</v>
      </c>
      <c r="G355" s="12" t="s">
        <v>45</v>
      </c>
      <c r="H355" s="12" t="s">
        <v>45</v>
      </c>
      <c r="I355" s="19" t="s">
        <v>32</v>
      </c>
      <c r="J355" s="13" t="s">
        <v>45</v>
      </c>
      <c r="K355" s="14" t="s">
        <v>55</v>
      </c>
      <c r="L355" s="14" t="s">
        <v>33</v>
      </c>
      <c r="M355" s="14" t="s">
        <v>47</v>
      </c>
      <c r="N355" s="15" t="s">
        <v>48</v>
      </c>
      <c r="O355" s="14" t="s">
        <v>42</v>
      </c>
      <c r="P355" s="14" t="s">
        <v>48</v>
      </c>
      <c r="Q355" s="14" t="s">
        <v>42</v>
      </c>
      <c r="R355" s="14" t="s">
        <v>48</v>
      </c>
      <c r="S355" s="14" t="s">
        <v>42</v>
      </c>
      <c r="T355" s="14">
        <f t="shared" si="1"/>
        <v>3</v>
      </c>
      <c r="U355" s="14">
        <f t="shared" si="2"/>
        <v>0</v>
      </c>
      <c r="V355" s="14">
        <f t="shared" si="3"/>
        <v>1</v>
      </c>
      <c r="W355" s="16">
        <f t="shared" si="4"/>
        <v>1</v>
      </c>
      <c r="X355" s="14" t="str">
        <f t="shared" si="5"/>
        <v>Normal</v>
      </c>
      <c r="Y355" s="17">
        <f t="shared" si="6"/>
        <v>1.527525232</v>
      </c>
    </row>
    <row r="356">
      <c r="A356" s="7" t="s">
        <v>1431</v>
      </c>
      <c r="B356" s="8" t="s">
        <v>1432</v>
      </c>
      <c r="C356" s="9" t="s">
        <v>1433</v>
      </c>
      <c r="D356" s="9" t="s">
        <v>66</v>
      </c>
      <c r="E356" s="10" t="s">
        <v>66</v>
      </c>
      <c r="F356" s="11" t="s">
        <v>155</v>
      </c>
      <c r="G356" s="12" t="s">
        <v>31</v>
      </c>
      <c r="H356" s="12" t="s">
        <v>31</v>
      </c>
      <c r="I356" s="19" t="s">
        <v>32</v>
      </c>
      <c r="J356" s="13" t="s">
        <v>32</v>
      </c>
      <c r="K356" s="14" t="s">
        <v>55</v>
      </c>
      <c r="L356" s="14" t="s">
        <v>34</v>
      </c>
      <c r="M356" s="14" t="s">
        <v>47</v>
      </c>
      <c r="N356" s="15" t="s">
        <v>49</v>
      </c>
      <c r="O356" s="14" t="s">
        <v>115</v>
      </c>
      <c r="P356" s="14" t="s">
        <v>48</v>
      </c>
      <c r="Q356" s="14" t="s">
        <v>42</v>
      </c>
      <c r="R356" s="14" t="s">
        <v>49</v>
      </c>
      <c r="S356" s="14" t="s">
        <v>115</v>
      </c>
      <c r="T356" s="14">
        <f t="shared" si="1"/>
        <v>0</v>
      </c>
      <c r="U356" s="14">
        <f t="shared" si="2"/>
        <v>2</v>
      </c>
      <c r="V356" s="14">
        <f t="shared" si="3"/>
        <v>2</v>
      </c>
      <c r="W356" s="16">
        <f t="shared" si="4"/>
        <v>1</v>
      </c>
      <c r="X356" s="14" t="b">
        <f t="shared" si="5"/>
        <v>0</v>
      </c>
      <c r="Y356" s="17">
        <f t="shared" si="6"/>
        <v>1.154700538</v>
      </c>
    </row>
    <row r="357">
      <c r="A357" s="7" t="s">
        <v>1434</v>
      </c>
      <c r="B357" s="8" t="s">
        <v>1435</v>
      </c>
      <c r="C357" s="9" t="s">
        <v>1436</v>
      </c>
      <c r="D357" s="33"/>
      <c r="E357" s="10" t="s">
        <v>181</v>
      </c>
      <c r="F357" s="18" t="s">
        <v>44</v>
      </c>
      <c r="G357" s="12" t="s">
        <v>45</v>
      </c>
      <c r="H357" s="12" t="s">
        <v>45</v>
      </c>
      <c r="I357" s="19" t="s">
        <v>31</v>
      </c>
      <c r="J357" s="13" t="s">
        <v>45</v>
      </c>
      <c r="K357" s="14" t="s">
        <v>55</v>
      </c>
      <c r="L357" s="14" t="s">
        <v>46</v>
      </c>
      <c r="M357" s="14" t="s">
        <v>47</v>
      </c>
      <c r="N357" s="15" t="s">
        <v>48</v>
      </c>
      <c r="O357" s="14" t="s">
        <v>42</v>
      </c>
      <c r="P357" s="14" t="s">
        <v>49</v>
      </c>
      <c r="Q357" s="14" t="s">
        <v>83</v>
      </c>
      <c r="R357" s="14" t="s">
        <v>48</v>
      </c>
      <c r="S357" s="14" t="s">
        <v>83</v>
      </c>
      <c r="T357" s="14">
        <f t="shared" si="1"/>
        <v>3</v>
      </c>
      <c r="U357" s="14">
        <f t="shared" si="2"/>
        <v>1</v>
      </c>
      <c r="V357" s="14">
        <f t="shared" si="3"/>
        <v>0</v>
      </c>
      <c r="W357" s="16">
        <f t="shared" si="4"/>
        <v>1</v>
      </c>
      <c r="X357" s="14" t="str">
        <f t="shared" si="5"/>
        <v>Normal</v>
      </c>
      <c r="Y357" s="17">
        <f t="shared" si="6"/>
        <v>1.527525232</v>
      </c>
    </row>
    <row r="358">
      <c r="A358" s="7" t="s">
        <v>1437</v>
      </c>
      <c r="B358" s="8" t="s">
        <v>1438</v>
      </c>
      <c r="C358" s="9" t="s">
        <v>1439</v>
      </c>
      <c r="D358" s="9" t="s">
        <v>72</v>
      </c>
      <c r="E358" s="10" t="s">
        <v>1440</v>
      </c>
      <c r="F358" s="11" t="s">
        <v>73</v>
      </c>
      <c r="G358" s="12" t="s">
        <v>31</v>
      </c>
      <c r="H358" s="12" t="s">
        <v>45</v>
      </c>
      <c r="I358" s="19" t="s">
        <v>32</v>
      </c>
      <c r="J358" s="13" t="s">
        <v>32</v>
      </c>
      <c r="K358" s="14" t="s">
        <v>55</v>
      </c>
      <c r="L358" s="14" t="s">
        <v>61</v>
      </c>
      <c r="M358" s="14" t="s">
        <v>35</v>
      </c>
      <c r="N358" s="15" t="s">
        <v>36</v>
      </c>
      <c r="O358" s="14" t="s">
        <v>72</v>
      </c>
      <c r="P358" s="14" t="s">
        <v>36</v>
      </c>
      <c r="Q358" s="14" t="s">
        <v>72</v>
      </c>
      <c r="R358" s="14" t="s">
        <v>36</v>
      </c>
      <c r="S358" s="14" t="s">
        <v>72</v>
      </c>
      <c r="T358" s="14">
        <f t="shared" si="1"/>
        <v>1</v>
      </c>
      <c r="U358" s="14">
        <f t="shared" si="2"/>
        <v>1</v>
      </c>
      <c r="V358" s="14">
        <f t="shared" si="3"/>
        <v>2</v>
      </c>
      <c r="W358" s="16">
        <f t="shared" si="4"/>
        <v>1</v>
      </c>
      <c r="X358" s="14" t="b">
        <f t="shared" si="5"/>
        <v>0</v>
      </c>
      <c r="Y358" s="17">
        <f t="shared" si="6"/>
        <v>0.5773502692</v>
      </c>
    </row>
    <row r="359">
      <c r="A359" s="7" t="s">
        <v>1441</v>
      </c>
      <c r="B359" s="8" t="s">
        <v>1442</v>
      </c>
      <c r="C359" s="9" t="s">
        <v>1443</v>
      </c>
      <c r="D359" s="33"/>
      <c r="E359" s="10" t="s">
        <v>181</v>
      </c>
      <c r="F359" s="11" t="s">
        <v>43</v>
      </c>
      <c r="G359" s="12" t="s">
        <v>45</v>
      </c>
      <c r="H359" s="12" t="s">
        <v>45</v>
      </c>
      <c r="I359" s="19" t="s">
        <v>31</v>
      </c>
      <c r="J359" s="13" t="s">
        <v>31</v>
      </c>
      <c r="K359" s="14" t="s">
        <v>55</v>
      </c>
      <c r="L359" s="14" t="s">
        <v>33</v>
      </c>
      <c r="M359" s="14" t="s">
        <v>47</v>
      </c>
      <c r="N359" s="15" t="s">
        <v>48</v>
      </c>
      <c r="O359" s="14" t="s">
        <v>42</v>
      </c>
      <c r="P359" s="14" t="s">
        <v>48</v>
      </c>
      <c r="Q359" s="14" t="s">
        <v>42</v>
      </c>
      <c r="R359" s="14" t="s">
        <v>48</v>
      </c>
      <c r="S359" s="14" t="s">
        <v>42</v>
      </c>
      <c r="T359" s="14">
        <f t="shared" si="1"/>
        <v>2</v>
      </c>
      <c r="U359" s="14">
        <f t="shared" si="2"/>
        <v>2</v>
      </c>
      <c r="V359" s="14">
        <f t="shared" si="3"/>
        <v>0</v>
      </c>
      <c r="W359" s="16">
        <f t="shared" si="4"/>
        <v>1</v>
      </c>
      <c r="X359" s="14" t="b">
        <f t="shared" si="5"/>
        <v>0</v>
      </c>
      <c r="Y359" s="17">
        <f t="shared" si="6"/>
        <v>1.154700538</v>
      </c>
    </row>
    <row r="360">
      <c r="A360" s="7" t="s">
        <v>1444</v>
      </c>
      <c r="B360" s="8" t="s">
        <v>1445</v>
      </c>
      <c r="C360" s="9" t="s">
        <v>1446</v>
      </c>
      <c r="D360" s="9" t="s">
        <v>99</v>
      </c>
      <c r="E360" s="10" t="s">
        <v>99</v>
      </c>
      <c r="F360" s="11" t="s">
        <v>43</v>
      </c>
      <c r="G360" s="12" t="s">
        <v>31</v>
      </c>
      <c r="H360" s="12" t="s">
        <v>31</v>
      </c>
      <c r="I360" s="19" t="s">
        <v>31</v>
      </c>
      <c r="J360" s="13" t="s">
        <v>31</v>
      </c>
      <c r="K360" s="14" t="s">
        <v>55</v>
      </c>
      <c r="L360" s="14" t="s">
        <v>34</v>
      </c>
      <c r="M360" s="14" t="s">
        <v>47</v>
      </c>
      <c r="N360" s="15" t="s">
        <v>48</v>
      </c>
      <c r="O360" s="14" t="s">
        <v>42</v>
      </c>
      <c r="P360" s="14" t="s">
        <v>48</v>
      </c>
      <c r="Q360" s="14" t="s">
        <v>42</v>
      </c>
      <c r="R360" s="14" t="s">
        <v>48</v>
      </c>
      <c r="S360" s="14" t="s">
        <v>42</v>
      </c>
      <c r="T360" s="14">
        <f t="shared" si="1"/>
        <v>0</v>
      </c>
      <c r="U360" s="14">
        <f t="shared" si="2"/>
        <v>4</v>
      </c>
      <c r="V360" s="14">
        <f t="shared" si="3"/>
        <v>0</v>
      </c>
      <c r="W360" s="16">
        <f t="shared" si="4"/>
        <v>1</v>
      </c>
      <c r="X360" s="14" t="str">
        <f t="shared" si="5"/>
        <v>Offensive</v>
      </c>
      <c r="Y360" s="17">
        <f t="shared" si="6"/>
        <v>2.309401077</v>
      </c>
    </row>
    <row r="361">
      <c r="A361" s="7" t="s">
        <v>1447</v>
      </c>
      <c r="B361" s="8" t="s">
        <v>1448</v>
      </c>
      <c r="C361" s="9" t="s">
        <v>1449</v>
      </c>
      <c r="D361" s="9" t="s">
        <v>374</v>
      </c>
      <c r="E361" s="10" t="s">
        <v>1450</v>
      </c>
      <c r="F361" s="18" t="s">
        <v>44</v>
      </c>
      <c r="G361" s="12" t="s">
        <v>45</v>
      </c>
      <c r="H361" s="12" t="s">
        <v>45</v>
      </c>
      <c r="I361" s="19" t="s">
        <v>32</v>
      </c>
      <c r="J361" s="13" t="s">
        <v>45</v>
      </c>
      <c r="K361" s="14" t="s">
        <v>55</v>
      </c>
      <c r="L361" s="14" t="s">
        <v>46</v>
      </c>
      <c r="M361" s="14" t="s">
        <v>35</v>
      </c>
      <c r="N361" s="15" t="s">
        <v>48</v>
      </c>
      <c r="O361" s="14" t="s">
        <v>283</v>
      </c>
      <c r="P361" s="14" t="s">
        <v>48</v>
      </c>
      <c r="Q361" s="14" t="s">
        <v>283</v>
      </c>
      <c r="R361" s="14" t="s">
        <v>48</v>
      </c>
      <c r="S361" s="14" t="s">
        <v>283</v>
      </c>
      <c r="T361" s="14">
        <f t="shared" si="1"/>
        <v>3</v>
      </c>
      <c r="U361" s="14">
        <f t="shared" si="2"/>
        <v>0</v>
      </c>
      <c r="V361" s="14">
        <f t="shared" si="3"/>
        <v>1</v>
      </c>
      <c r="W361" s="16">
        <f t="shared" si="4"/>
        <v>1</v>
      </c>
      <c r="X361" s="14" t="str">
        <f t="shared" si="5"/>
        <v>Normal</v>
      </c>
      <c r="Y361" s="17">
        <f t="shared" si="6"/>
        <v>1.527525232</v>
      </c>
    </row>
    <row r="362">
      <c r="A362" s="7" t="s">
        <v>1451</v>
      </c>
      <c r="B362" s="8" t="s">
        <v>1452</v>
      </c>
      <c r="C362" s="9" t="s">
        <v>1453</v>
      </c>
      <c r="D362" s="9" t="s">
        <v>42</v>
      </c>
      <c r="E362" s="10" t="s">
        <v>217</v>
      </c>
      <c r="F362" s="18" t="s">
        <v>44</v>
      </c>
      <c r="G362" s="12" t="s">
        <v>45</v>
      </c>
      <c r="H362" s="12" t="s">
        <v>45</v>
      </c>
      <c r="I362" s="19" t="s">
        <v>31</v>
      </c>
      <c r="J362" s="13" t="s">
        <v>45</v>
      </c>
      <c r="K362" s="14" t="s">
        <v>55</v>
      </c>
      <c r="L362" s="14" t="s">
        <v>61</v>
      </c>
      <c r="M362" s="14" t="s">
        <v>47</v>
      </c>
      <c r="N362" s="15" t="s">
        <v>48</v>
      </c>
      <c r="O362" s="14" t="s">
        <v>42</v>
      </c>
      <c r="P362" s="14" t="s">
        <v>48</v>
      </c>
      <c r="Q362" s="14" t="s">
        <v>42</v>
      </c>
      <c r="R362" s="14" t="s">
        <v>48</v>
      </c>
      <c r="S362" s="14" t="s">
        <v>1454</v>
      </c>
      <c r="T362" s="14">
        <f t="shared" si="1"/>
        <v>3</v>
      </c>
      <c r="U362" s="14">
        <f t="shared" si="2"/>
        <v>1</v>
      </c>
      <c r="V362" s="14">
        <f t="shared" si="3"/>
        <v>0</v>
      </c>
      <c r="W362" s="16">
        <f t="shared" si="4"/>
        <v>1</v>
      </c>
      <c r="X362" s="14" t="str">
        <f t="shared" si="5"/>
        <v>Normal</v>
      </c>
      <c r="Y362" s="17">
        <f t="shared" si="6"/>
        <v>1.527525232</v>
      </c>
    </row>
    <row r="363">
      <c r="A363" s="7" t="s">
        <v>1455</v>
      </c>
      <c r="B363" s="8" t="s">
        <v>1456</v>
      </c>
      <c r="C363" s="9" t="s">
        <v>1457</v>
      </c>
      <c r="D363" s="33"/>
      <c r="E363" s="10" t="s">
        <v>181</v>
      </c>
      <c r="F363" s="18" t="s">
        <v>44</v>
      </c>
      <c r="G363" s="12" t="s">
        <v>45</v>
      </c>
      <c r="H363" s="12" t="s">
        <v>31</v>
      </c>
      <c r="I363" s="19" t="s">
        <v>45</v>
      </c>
      <c r="J363" s="13" t="s">
        <v>45</v>
      </c>
      <c r="K363" s="14" t="s">
        <v>55</v>
      </c>
      <c r="L363" s="14" t="s">
        <v>33</v>
      </c>
      <c r="M363" s="14" t="s">
        <v>35</v>
      </c>
      <c r="N363" s="15" t="s">
        <v>48</v>
      </c>
      <c r="O363" s="14" t="s">
        <v>42</v>
      </c>
      <c r="P363" s="14" t="s">
        <v>36</v>
      </c>
      <c r="Q363" s="14" t="s">
        <v>283</v>
      </c>
      <c r="R363" s="14" t="s">
        <v>48</v>
      </c>
      <c r="S363" s="14" t="s">
        <v>283</v>
      </c>
      <c r="T363" s="14">
        <f t="shared" si="1"/>
        <v>3</v>
      </c>
      <c r="U363" s="14">
        <f t="shared" si="2"/>
        <v>1</v>
      </c>
      <c r="V363" s="14">
        <f t="shared" si="3"/>
        <v>0</v>
      </c>
      <c r="W363" s="16">
        <f t="shared" si="4"/>
        <v>1</v>
      </c>
      <c r="X363" s="14" t="str">
        <f t="shared" si="5"/>
        <v>Normal</v>
      </c>
      <c r="Y363" s="17">
        <f t="shared" si="6"/>
        <v>1.527525232</v>
      </c>
    </row>
    <row r="364">
      <c r="A364" s="7" t="s">
        <v>1458</v>
      </c>
      <c r="B364" s="8" t="s">
        <v>1459</v>
      </c>
      <c r="C364" s="9" t="s">
        <v>1460</v>
      </c>
      <c r="D364" s="9" t="s">
        <v>1461</v>
      </c>
      <c r="E364" s="10" t="s">
        <v>42</v>
      </c>
      <c r="F364" s="11" t="s">
        <v>1462</v>
      </c>
      <c r="G364" s="12" t="s">
        <v>31</v>
      </c>
      <c r="H364" s="12" t="s">
        <v>31</v>
      </c>
      <c r="I364" s="19" t="s">
        <v>31</v>
      </c>
      <c r="J364" s="13" t="s">
        <v>31</v>
      </c>
      <c r="K364" s="14" t="s">
        <v>55</v>
      </c>
      <c r="L364" s="14" t="s">
        <v>34</v>
      </c>
      <c r="M364" s="14" t="s">
        <v>47</v>
      </c>
      <c r="N364" s="15" t="s">
        <v>48</v>
      </c>
      <c r="O364" s="14" t="s">
        <v>42</v>
      </c>
      <c r="P364" s="14" t="s">
        <v>49</v>
      </c>
      <c r="Q364" s="14" t="s">
        <v>568</v>
      </c>
      <c r="R364" s="14" t="s">
        <v>48</v>
      </c>
      <c r="S364" s="14" t="s">
        <v>43</v>
      </c>
      <c r="T364" s="14">
        <f t="shared" si="1"/>
        <v>0</v>
      </c>
      <c r="U364" s="14">
        <f t="shared" si="2"/>
        <v>4</v>
      </c>
      <c r="V364" s="14">
        <f t="shared" si="3"/>
        <v>0</v>
      </c>
      <c r="W364" s="16">
        <f t="shared" si="4"/>
        <v>1</v>
      </c>
      <c r="X364" s="14" t="str">
        <f t="shared" si="5"/>
        <v>Offensive</v>
      </c>
      <c r="Y364" s="17">
        <f t="shared" si="6"/>
        <v>2.309401077</v>
      </c>
    </row>
    <row r="365">
      <c r="A365" s="7" t="s">
        <v>1463</v>
      </c>
      <c r="B365" s="8" t="s">
        <v>1464</v>
      </c>
      <c r="C365" s="9" t="s">
        <v>1465</v>
      </c>
      <c r="D365" s="9" t="s">
        <v>459</v>
      </c>
      <c r="E365" s="10" t="s">
        <v>54</v>
      </c>
      <c r="F365" s="11" t="s">
        <v>54</v>
      </c>
      <c r="G365" s="12" t="s">
        <v>31</v>
      </c>
      <c r="H365" s="12" t="s">
        <v>45</v>
      </c>
      <c r="I365" s="19" t="s">
        <v>32</v>
      </c>
      <c r="J365" s="13" t="s">
        <v>32</v>
      </c>
      <c r="K365" s="14" t="s">
        <v>55</v>
      </c>
      <c r="L365" s="14" t="s">
        <v>46</v>
      </c>
      <c r="M365" s="14" t="s">
        <v>47</v>
      </c>
      <c r="N365" s="15" t="s">
        <v>36</v>
      </c>
      <c r="O365" s="14" t="s">
        <v>37</v>
      </c>
      <c r="P365" s="14" t="s">
        <v>48</v>
      </c>
      <c r="Q365" s="14" t="s">
        <v>42</v>
      </c>
      <c r="R365" s="14" t="s">
        <v>48</v>
      </c>
      <c r="S365" s="14" t="s">
        <v>42</v>
      </c>
      <c r="T365" s="14">
        <f t="shared" si="1"/>
        <v>1</v>
      </c>
      <c r="U365" s="14">
        <f t="shared" si="2"/>
        <v>1</v>
      </c>
      <c r="V365" s="14">
        <f t="shared" si="3"/>
        <v>2</v>
      </c>
      <c r="W365" s="16">
        <f t="shared" si="4"/>
        <v>1</v>
      </c>
      <c r="X365" s="14" t="b">
        <f t="shared" si="5"/>
        <v>0</v>
      </c>
      <c r="Y365" s="17">
        <f t="shared" si="6"/>
        <v>0.5773502692</v>
      </c>
    </row>
    <row r="366">
      <c r="A366" s="7" t="s">
        <v>1466</v>
      </c>
      <c r="B366" s="8" t="s">
        <v>1467</v>
      </c>
      <c r="C366" s="9" t="s">
        <v>1468</v>
      </c>
      <c r="D366" s="9" t="s">
        <v>72</v>
      </c>
      <c r="E366" s="10" t="s">
        <v>1368</v>
      </c>
      <c r="F366" s="11" t="s">
        <v>73</v>
      </c>
      <c r="G366" s="12" t="s">
        <v>31</v>
      </c>
      <c r="H366" s="12" t="s">
        <v>31</v>
      </c>
      <c r="I366" s="19" t="s">
        <v>32</v>
      </c>
      <c r="J366" s="13" t="s">
        <v>32</v>
      </c>
      <c r="K366" s="14" t="s">
        <v>55</v>
      </c>
      <c r="L366" s="14" t="s">
        <v>61</v>
      </c>
      <c r="M366" s="14" t="s">
        <v>35</v>
      </c>
      <c r="N366" s="15" t="s">
        <v>49</v>
      </c>
      <c r="O366" s="14" t="s">
        <v>1469</v>
      </c>
      <c r="P366" s="14" t="s">
        <v>48</v>
      </c>
      <c r="Q366" s="14" t="s">
        <v>42</v>
      </c>
      <c r="R366" s="14" t="s">
        <v>49</v>
      </c>
      <c r="S366" s="14" t="s">
        <v>72</v>
      </c>
      <c r="T366" s="14">
        <f t="shared" si="1"/>
        <v>0</v>
      </c>
      <c r="U366" s="14">
        <f t="shared" si="2"/>
        <v>2</v>
      </c>
      <c r="V366" s="14">
        <f t="shared" si="3"/>
        <v>2</v>
      </c>
      <c r="W366" s="16">
        <f t="shared" si="4"/>
        <v>1</v>
      </c>
      <c r="X366" s="14" t="b">
        <f t="shared" si="5"/>
        <v>0</v>
      </c>
      <c r="Y366" s="17">
        <f t="shared" si="6"/>
        <v>1.154700538</v>
      </c>
    </row>
    <row r="367">
      <c r="A367" s="7" t="s">
        <v>1470</v>
      </c>
      <c r="B367" s="8" t="s">
        <v>1471</v>
      </c>
      <c r="C367" s="9" t="s">
        <v>1472</v>
      </c>
      <c r="D367" s="9" t="s">
        <v>459</v>
      </c>
      <c r="E367" s="10" t="s">
        <v>54</v>
      </c>
      <c r="F367" s="11" t="s">
        <v>54</v>
      </c>
      <c r="G367" s="12" t="s">
        <v>31</v>
      </c>
      <c r="H367" s="12" t="s">
        <v>32</v>
      </c>
      <c r="I367" s="19" t="s">
        <v>32</v>
      </c>
      <c r="J367" s="13" t="s">
        <v>32</v>
      </c>
      <c r="K367" s="14" t="s">
        <v>55</v>
      </c>
      <c r="L367" s="14" t="s">
        <v>33</v>
      </c>
      <c r="M367" s="14" t="s">
        <v>35</v>
      </c>
      <c r="N367" s="15" t="s">
        <v>48</v>
      </c>
      <c r="O367" s="14" t="s">
        <v>42</v>
      </c>
      <c r="P367" s="14" t="s">
        <v>36</v>
      </c>
      <c r="Q367" s="14" t="s">
        <v>37</v>
      </c>
      <c r="R367" s="14" t="s">
        <v>36</v>
      </c>
      <c r="S367" s="14" t="s">
        <v>37</v>
      </c>
      <c r="T367" s="14">
        <f t="shared" si="1"/>
        <v>0</v>
      </c>
      <c r="U367" s="14">
        <f t="shared" si="2"/>
        <v>1</v>
      </c>
      <c r="V367" s="14">
        <f t="shared" si="3"/>
        <v>3</v>
      </c>
      <c r="W367" s="16">
        <f t="shared" si="4"/>
        <v>1</v>
      </c>
      <c r="X367" s="14" t="str">
        <f t="shared" si="5"/>
        <v>Hate Speech</v>
      </c>
      <c r="Y367" s="17">
        <f t="shared" si="6"/>
        <v>1.527525232</v>
      </c>
    </row>
    <row r="368">
      <c r="A368" s="7" t="s">
        <v>1473</v>
      </c>
      <c r="B368" s="8" t="s">
        <v>1474</v>
      </c>
      <c r="C368" s="9" t="s">
        <v>1475</v>
      </c>
      <c r="D368" s="9" t="s">
        <v>459</v>
      </c>
      <c r="E368" s="10" t="s">
        <v>892</v>
      </c>
      <c r="F368" s="11" t="s">
        <v>504</v>
      </c>
      <c r="G368" s="12" t="s">
        <v>31</v>
      </c>
      <c r="H368" s="12" t="s">
        <v>31</v>
      </c>
      <c r="I368" s="19" t="s">
        <v>32</v>
      </c>
      <c r="J368" s="13" t="s">
        <v>32</v>
      </c>
      <c r="K368" s="14" t="s">
        <v>55</v>
      </c>
      <c r="L368" s="14" t="s">
        <v>34</v>
      </c>
      <c r="M368" s="14" t="s">
        <v>35</v>
      </c>
      <c r="N368" s="15" t="s">
        <v>36</v>
      </c>
      <c r="O368" s="14" t="s">
        <v>921</v>
      </c>
      <c r="P368" s="14" t="s">
        <v>36</v>
      </c>
      <c r="Q368" s="14" t="s">
        <v>37</v>
      </c>
      <c r="R368" s="14" t="s">
        <v>49</v>
      </c>
      <c r="S368" s="14" t="s">
        <v>37</v>
      </c>
      <c r="T368" s="14">
        <f t="shared" si="1"/>
        <v>0</v>
      </c>
      <c r="U368" s="14">
        <f t="shared" si="2"/>
        <v>2</v>
      </c>
      <c r="V368" s="14">
        <f t="shared" si="3"/>
        <v>2</v>
      </c>
      <c r="W368" s="16">
        <f t="shared" si="4"/>
        <v>1</v>
      </c>
      <c r="X368" s="14" t="b">
        <f t="shared" si="5"/>
        <v>0</v>
      </c>
      <c r="Y368" s="17">
        <f t="shared" si="6"/>
        <v>1.154700538</v>
      </c>
    </row>
    <row r="369">
      <c r="A369" s="7" t="s">
        <v>1476</v>
      </c>
      <c r="B369" s="8" t="s">
        <v>1477</v>
      </c>
      <c r="C369" s="9" t="s">
        <v>1478</v>
      </c>
      <c r="D369" s="9" t="s">
        <v>1479</v>
      </c>
      <c r="E369" s="10" t="s">
        <v>1480</v>
      </c>
      <c r="F369" s="11" t="s">
        <v>233</v>
      </c>
      <c r="G369" s="12" t="s">
        <v>31</v>
      </c>
      <c r="H369" s="12" t="s">
        <v>31</v>
      </c>
      <c r="I369" s="19" t="s">
        <v>31</v>
      </c>
      <c r="J369" s="13" t="s">
        <v>31</v>
      </c>
      <c r="K369" s="14" t="s">
        <v>55</v>
      </c>
      <c r="L369" s="14" t="s">
        <v>46</v>
      </c>
      <c r="M369" s="14" t="s">
        <v>47</v>
      </c>
      <c r="N369" s="15" t="s">
        <v>49</v>
      </c>
      <c r="O369" s="14" t="s">
        <v>62</v>
      </c>
      <c r="P369" s="14" t="s">
        <v>49</v>
      </c>
      <c r="Q369" s="14" t="s">
        <v>62</v>
      </c>
      <c r="R369" s="14" t="s">
        <v>49</v>
      </c>
      <c r="S369" s="14" t="s">
        <v>1263</v>
      </c>
      <c r="T369" s="14">
        <f t="shared" si="1"/>
        <v>0</v>
      </c>
      <c r="U369" s="14">
        <f t="shared" si="2"/>
        <v>4</v>
      </c>
      <c r="V369" s="14">
        <f t="shared" si="3"/>
        <v>0</v>
      </c>
      <c r="W369" s="16">
        <f t="shared" si="4"/>
        <v>1</v>
      </c>
      <c r="X369" s="14" t="str">
        <f t="shared" si="5"/>
        <v>Offensive</v>
      </c>
      <c r="Y369" s="17">
        <f t="shared" si="6"/>
        <v>2.309401077</v>
      </c>
    </row>
    <row r="370">
      <c r="A370" s="7" t="s">
        <v>1481</v>
      </c>
      <c r="B370" s="8" t="s">
        <v>1482</v>
      </c>
      <c r="C370" s="9" t="s">
        <v>1483</v>
      </c>
      <c r="D370" s="9" t="s">
        <v>216</v>
      </c>
      <c r="E370" s="10" t="s">
        <v>43</v>
      </c>
      <c r="F370" s="18" t="s">
        <v>44</v>
      </c>
      <c r="G370" s="12" t="s">
        <v>45</v>
      </c>
      <c r="H370" s="12" t="s">
        <v>45</v>
      </c>
      <c r="I370" s="19" t="s">
        <v>31</v>
      </c>
      <c r="J370" s="13" t="s">
        <v>45</v>
      </c>
      <c r="K370" s="14" t="s">
        <v>55</v>
      </c>
      <c r="L370" s="14" t="s">
        <v>61</v>
      </c>
      <c r="M370" s="14" t="s">
        <v>47</v>
      </c>
      <c r="N370" s="15" t="s">
        <v>49</v>
      </c>
      <c r="O370" s="14" t="s">
        <v>42</v>
      </c>
      <c r="P370" s="14" t="s">
        <v>49</v>
      </c>
      <c r="Q370" s="14" t="s">
        <v>115</v>
      </c>
      <c r="R370" s="14" t="s">
        <v>48</v>
      </c>
      <c r="S370" s="14" t="s">
        <v>105</v>
      </c>
      <c r="T370" s="14">
        <f t="shared" si="1"/>
        <v>3</v>
      </c>
      <c r="U370" s="14">
        <f t="shared" si="2"/>
        <v>1</v>
      </c>
      <c r="V370" s="14">
        <f t="shared" si="3"/>
        <v>0</v>
      </c>
      <c r="W370" s="16">
        <f t="shared" si="4"/>
        <v>1</v>
      </c>
      <c r="X370" s="14" t="str">
        <f t="shared" si="5"/>
        <v>Normal</v>
      </c>
      <c r="Y370" s="17">
        <f t="shared" si="6"/>
        <v>1.527525232</v>
      </c>
    </row>
    <row r="371">
      <c r="A371" s="7" t="s">
        <v>1484</v>
      </c>
      <c r="B371" s="8" t="s">
        <v>1485</v>
      </c>
      <c r="C371" s="9" t="s">
        <v>1486</v>
      </c>
      <c r="D371" s="33"/>
      <c r="E371" s="10" t="s">
        <v>181</v>
      </c>
      <c r="F371" s="18" t="s">
        <v>44</v>
      </c>
      <c r="G371" s="12" t="s">
        <v>32</v>
      </c>
      <c r="H371" s="12" t="s">
        <v>32</v>
      </c>
      <c r="I371" s="19" t="s">
        <v>32</v>
      </c>
      <c r="J371" s="13" t="s">
        <v>31</v>
      </c>
      <c r="K371" s="14" t="s">
        <v>55</v>
      </c>
      <c r="L371" s="14" t="s">
        <v>33</v>
      </c>
      <c r="M371" s="14" t="s">
        <v>47</v>
      </c>
      <c r="N371" s="15" t="s">
        <v>48</v>
      </c>
      <c r="O371" s="14" t="s">
        <v>42</v>
      </c>
      <c r="P371" s="14" t="s">
        <v>48</v>
      </c>
      <c r="Q371" s="14" t="s">
        <v>42</v>
      </c>
      <c r="R371" s="14" t="s">
        <v>48</v>
      </c>
      <c r="S371" s="14" t="s">
        <v>42</v>
      </c>
      <c r="T371" s="14">
        <f t="shared" si="1"/>
        <v>0</v>
      </c>
      <c r="U371" s="14">
        <f t="shared" si="2"/>
        <v>1</v>
      </c>
      <c r="V371" s="14">
        <f t="shared" si="3"/>
        <v>3</v>
      </c>
      <c r="W371" s="16">
        <f t="shared" si="4"/>
        <v>1</v>
      </c>
      <c r="X371" s="14" t="str">
        <f t="shared" si="5"/>
        <v>Hate Speech</v>
      </c>
      <c r="Y371" s="17">
        <f t="shared" si="6"/>
        <v>1.527525232</v>
      </c>
    </row>
    <row r="372">
      <c r="A372" s="7" t="s">
        <v>1487</v>
      </c>
      <c r="B372" s="8" t="s">
        <v>1488</v>
      </c>
      <c r="C372" s="9" t="s">
        <v>1489</v>
      </c>
      <c r="D372" s="9" t="s">
        <v>1490</v>
      </c>
      <c r="E372" s="10" t="s">
        <v>29</v>
      </c>
      <c r="F372" s="11" t="s">
        <v>155</v>
      </c>
      <c r="G372" s="12" t="s">
        <v>31</v>
      </c>
      <c r="H372" s="12" t="s">
        <v>31</v>
      </c>
      <c r="I372" s="19" t="s">
        <v>32</v>
      </c>
      <c r="J372" s="13" t="s">
        <v>32</v>
      </c>
      <c r="K372" s="14" t="s">
        <v>55</v>
      </c>
      <c r="L372" s="14" t="s">
        <v>34</v>
      </c>
      <c r="M372" s="14" t="s">
        <v>35</v>
      </c>
      <c r="N372" s="15" t="s">
        <v>49</v>
      </c>
      <c r="O372" s="14" t="s">
        <v>975</v>
      </c>
      <c r="P372" s="14" t="s">
        <v>49</v>
      </c>
      <c r="Q372" s="14" t="s">
        <v>784</v>
      </c>
      <c r="R372" s="14" t="s">
        <v>36</v>
      </c>
      <c r="S372" s="14" t="s">
        <v>115</v>
      </c>
      <c r="T372" s="14">
        <f t="shared" si="1"/>
        <v>0</v>
      </c>
      <c r="U372" s="14">
        <f t="shared" si="2"/>
        <v>2</v>
      </c>
      <c r="V372" s="14">
        <f t="shared" si="3"/>
        <v>2</v>
      </c>
      <c r="W372" s="16">
        <f t="shared" si="4"/>
        <v>1</v>
      </c>
      <c r="X372" s="14" t="b">
        <f t="shared" si="5"/>
        <v>0</v>
      </c>
      <c r="Y372" s="17">
        <f t="shared" si="6"/>
        <v>1.154700538</v>
      </c>
    </row>
    <row r="373">
      <c r="A373" s="7" t="s">
        <v>1491</v>
      </c>
      <c r="B373" s="8" t="s">
        <v>1492</v>
      </c>
      <c r="C373" s="9" t="s">
        <v>1493</v>
      </c>
      <c r="D373" s="9" t="s">
        <v>435</v>
      </c>
      <c r="E373" s="10" t="s">
        <v>1494</v>
      </c>
      <c r="F373" s="11" t="s">
        <v>750</v>
      </c>
      <c r="G373" s="12" t="s">
        <v>31</v>
      </c>
      <c r="H373" s="12" t="s">
        <v>31</v>
      </c>
      <c r="I373" s="19" t="s">
        <v>32</v>
      </c>
      <c r="J373" s="13" t="s">
        <v>32</v>
      </c>
      <c r="K373" s="14" t="s">
        <v>55</v>
      </c>
      <c r="L373" s="14" t="s">
        <v>46</v>
      </c>
      <c r="M373" s="14" t="s">
        <v>35</v>
      </c>
      <c r="N373" s="15" t="s">
        <v>36</v>
      </c>
      <c r="O373" s="14" t="s">
        <v>413</v>
      </c>
      <c r="P373" s="14" t="s">
        <v>36</v>
      </c>
      <c r="Q373" s="14" t="s">
        <v>413</v>
      </c>
      <c r="R373" s="14" t="s">
        <v>36</v>
      </c>
      <c r="S373" s="14" t="s">
        <v>413</v>
      </c>
      <c r="T373" s="14">
        <f t="shared" si="1"/>
        <v>0</v>
      </c>
      <c r="U373" s="14">
        <f t="shared" si="2"/>
        <v>2</v>
      </c>
      <c r="V373" s="14">
        <f t="shared" si="3"/>
        <v>2</v>
      </c>
      <c r="W373" s="16">
        <f t="shared" si="4"/>
        <v>1</v>
      </c>
      <c r="X373" s="14" t="b">
        <f t="shared" si="5"/>
        <v>0</v>
      </c>
      <c r="Y373" s="17">
        <f t="shared" si="6"/>
        <v>1.154700538</v>
      </c>
    </row>
    <row r="374">
      <c r="A374" s="7" t="s">
        <v>1495</v>
      </c>
      <c r="B374" s="8" t="s">
        <v>1496</v>
      </c>
      <c r="C374" s="9" t="s">
        <v>1497</v>
      </c>
      <c r="D374" s="9" t="s">
        <v>225</v>
      </c>
      <c r="E374" s="10" t="s">
        <v>1498</v>
      </c>
      <c r="F374" s="18" t="s">
        <v>44</v>
      </c>
      <c r="G374" s="12" t="s">
        <v>45</v>
      </c>
      <c r="H374" s="12" t="s">
        <v>45</v>
      </c>
      <c r="I374" s="19" t="s">
        <v>31</v>
      </c>
      <c r="J374" s="13" t="s">
        <v>45</v>
      </c>
      <c r="K374" s="14" t="s">
        <v>55</v>
      </c>
      <c r="L374" s="14" t="s">
        <v>61</v>
      </c>
      <c r="M374" s="14" t="s">
        <v>47</v>
      </c>
      <c r="N374" s="15" t="s">
        <v>49</v>
      </c>
      <c r="O374" s="14" t="s">
        <v>43</v>
      </c>
      <c r="P374" s="14" t="s">
        <v>49</v>
      </c>
      <c r="Q374" s="14" t="s">
        <v>42</v>
      </c>
      <c r="R374" s="14" t="s">
        <v>49</v>
      </c>
      <c r="S374" s="14" t="s">
        <v>43</v>
      </c>
      <c r="T374" s="14">
        <f t="shared" si="1"/>
        <v>3</v>
      </c>
      <c r="U374" s="14">
        <f t="shared" si="2"/>
        <v>1</v>
      </c>
      <c r="V374" s="14">
        <f t="shared" si="3"/>
        <v>0</v>
      </c>
      <c r="W374" s="16">
        <f t="shared" si="4"/>
        <v>1</v>
      </c>
      <c r="X374" s="14" t="str">
        <f t="shared" si="5"/>
        <v>Normal</v>
      </c>
      <c r="Y374" s="17">
        <f t="shared" si="6"/>
        <v>1.527525232</v>
      </c>
    </row>
    <row r="375">
      <c r="A375" s="7" t="s">
        <v>1499</v>
      </c>
      <c r="B375" s="8" t="s">
        <v>1500</v>
      </c>
      <c r="C375" s="9" t="s">
        <v>1501</v>
      </c>
      <c r="D375" s="33"/>
      <c r="E375" s="10" t="s">
        <v>181</v>
      </c>
      <c r="F375" s="18" t="s">
        <v>44</v>
      </c>
      <c r="G375" s="12" t="s">
        <v>45</v>
      </c>
      <c r="H375" s="12" t="s">
        <v>45</v>
      </c>
      <c r="I375" s="19" t="s">
        <v>45</v>
      </c>
      <c r="J375" s="13" t="s">
        <v>45</v>
      </c>
      <c r="K375" s="14" t="s">
        <v>55</v>
      </c>
      <c r="L375" s="14" t="s">
        <v>33</v>
      </c>
      <c r="M375" s="14" t="s">
        <v>35</v>
      </c>
      <c r="N375" s="15" t="s">
        <v>48</v>
      </c>
      <c r="O375" s="14" t="s">
        <v>37</v>
      </c>
      <c r="P375" s="14" t="s">
        <v>36</v>
      </c>
      <c r="Q375" s="14" t="s">
        <v>37</v>
      </c>
      <c r="R375" s="14" t="s">
        <v>48</v>
      </c>
      <c r="S375" s="14" t="s">
        <v>37</v>
      </c>
      <c r="T375" s="14">
        <f t="shared" si="1"/>
        <v>4</v>
      </c>
      <c r="U375" s="14">
        <f t="shared" si="2"/>
        <v>0</v>
      </c>
      <c r="V375" s="14">
        <f t="shared" si="3"/>
        <v>0</v>
      </c>
      <c r="W375" s="16">
        <f t="shared" si="4"/>
        <v>1</v>
      </c>
      <c r="X375" s="14" t="str">
        <f t="shared" si="5"/>
        <v>Normal</v>
      </c>
      <c r="Y375" s="17">
        <f t="shared" si="6"/>
        <v>2.309401077</v>
      </c>
    </row>
    <row r="376">
      <c r="A376" s="7" t="s">
        <v>1502</v>
      </c>
      <c r="B376" s="8" t="s">
        <v>1503</v>
      </c>
      <c r="C376" s="9" t="s">
        <v>1504</v>
      </c>
      <c r="D376" s="9" t="s">
        <v>459</v>
      </c>
      <c r="E376" s="10" t="s">
        <v>53</v>
      </c>
      <c r="F376" s="11" t="s">
        <v>54</v>
      </c>
      <c r="G376" s="12" t="s">
        <v>31</v>
      </c>
      <c r="H376" s="12" t="s">
        <v>31</v>
      </c>
      <c r="I376" s="19" t="s">
        <v>32</v>
      </c>
      <c r="J376" s="13" t="s">
        <v>32</v>
      </c>
      <c r="K376" s="14" t="s">
        <v>55</v>
      </c>
      <c r="L376" s="14" t="s">
        <v>34</v>
      </c>
      <c r="M376" s="14" t="s">
        <v>35</v>
      </c>
      <c r="N376" s="15" t="s">
        <v>36</v>
      </c>
      <c r="O376" s="14" t="s">
        <v>37</v>
      </c>
      <c r="P376" s="14" t="s">
        <v>36</v>
      </c>
      <c r="Q376" s="14" t="s">
        <v>37</v>
      </c>
      <c r="R376" s="14" t="s">
        <v>36</v>
      </c>
      <c r="S376" s="14" t="s">
        <v>37</v>
      </c>
      <c r="T376" s="14">
        <f t="shared" si="1"/>
        <v>0</v>
      </c>
      <c r="U376" s="14">
        <f t="shared" si="2"/>
        <v>2</v>
      </c>
      <c r="V376" s="14">
        <f t="shared" si="3"/>
        <v>2</v>
      </c>
      <c r="W376" s="16">
        <f t="shared" si="4"/>
        <v>1</v>
      </c>
      <c r="X376" s="14" t="b">
        <f t="shared" si="5"/>
        <v>0</v>
      </c>
      <c r="Y376" s="17">
        <f t="shared" si="6"/>
        <v>1.154700538</v>
      </c>
    </row>
    <row r="377">
      <c r="A377" s="7" t="s">
        <v>1505</v>
      </c>
      <c r="B377" s="8" t="s">
        <v>1506</v>
      </c>
      <c r="C377" s="9" t="s">
        <v>1507</v>
      </c>
      <c r="D377" s="9" t="s">
        <v>1508</v>
      </c>
      <c r="E377" s="10" t="s">
        <v>1509</v>
      </c>
      <c r="F377" s="11" t="s">
        <v>567</v>
      </c>
      <c r="G377" s="12" t="s">
        <v>32</v>
      </c>
      <c r="H377" s="12" t="s">
        <v>31</v>
      </c>
      <c r="I377" s="19" t="s">
        <v>32</v>
      </c>
      <c r="J377" s="13" t="s">
        <v>32</v>
      </c>
      <c r="K377" s="14" t="s">
        <v>55</v>
      </c>
      <c r="L377" s="14" t="s">
        <v>46</v>
      </c>
      <c r="M377" s="14" t="s">
        <v>35</v>
      </c>
      <c r="N377" s="15" t="s">
        <v>36</v>
      </c>
      <c r="O377" s="14" t="s">
        <v>658</v>
      </c>
      <c r="P377" s="14" t="s">
        <v>49</v>
      </c>
      <c r="Q377" s="14" t="s">
        <v>105</v>
      </c>
      <c r="R377" s="14" t="s">
        <v>36</v>
      </c>
      <c r="S377" s="14" t="s">
        <v>43</v>
      </c>
      <c r="T377" s="14">
        <f t="shared" si="1"/>
        <v>0</v>
      </c>
      <c r="U377" s="14">
        <f t="shared" si="2"/>
        <v>1</v>
      </c>
      <c r="V377" s="14">
        <f t="shared" si="3"/>
        <v>3</v>
      </c>
      <c r="W377" s="16">
        <f t="shared" si="4"/>
        <v>1</v>
      </c>
      <c r="X377" s="14" t="str">
        <f t="shared" si="5"/>
        <v>Hate Speech</v>
      </c>
      <c r="Y377" s="17">
        <f t="shared" si="6"/>
        <v>1.527525232</v>
      </c>
    </row>
    <row r="378">
      <c r="A378" s="7" t="s">
        <v>1510</v>
      </c>
      <c r="B378" s="8" t="s">
        <v>1511</v>
      </c>
      <c r="C378" s="9" t="s">
        <v>1512</v>
      </c>
      <c r="D378" s="9" t="s">
        <v>374</v>
      </c>
      <c r="E378" s="10" t="s">
        <v>84</v>
      </c>
      <c r="F378" s="11" t="s">
        <v>425</v>
      </c>
      <c r="G378" s="12" t="s">
        <v>32</v>
      </c>
      <c r="H378" s="12" t="s">
        <v>31</v>
      </c>
      <c r="I378" s="19" t="s">
        <v>32</v>
      </c>
      <c r="J378" s="13" t="s">
        <v>32</v>
      </c>
      <c r="K378" s="14" t="s">
        <v>55</v>
      </c>
      <c r="L378" s="14" t="s">
        <v>61</v>
      </c>
      <c r="M378" s="14" t="s">
        <v>35</v>
      </c>
      <c r="N378" s="15" t="s">
        <v>36</v>
      </c>
      <c r="O378" s="14" t="s">
        <v>62</v>
      </c>
      <c r="P378" s="14" t="s">
        <v>36</v>
      </c>
      <c r="Q378" s="14" t="s">
        <v>283</v>
      </c>
      <c r="R378" s="14" t="s">
        <v>49</v>
      </c>
      <c r="S378" s="14" t="s">
        <v>62</v>
      </c>
      <c r="T378" s="14">
        <f t="shared" si="1"/>
        <v>0</v>
      </c>
      <c r="U378" s="14">
        <f t="shared" si="2"/>
        <v>1</v>
      </c>
      <c r="V378" s="14">
        <f t="shared" si="3"/>
        <v>3</v>
      </c>
      <c r="W378" s="16">
        <f t="shared" si="4"/>
        <v>1</v>
      </c>
      <c r="X378" s="14" t="str">
        <f t="shared" si="5"/>
        <v>Hate Speech</v>
      </c>
      <c r="Y378" s="17">
        <f t="shared" si="6"/>
        <v>1.527525232</v>
      </c>
    </row>
    <row r="379">
      <c r="A379" s="7" t="s">
        <v>1513</v>
      </c>
      <c r="B379" s="8" t="s">
        <v>1514</v>
      </c>
      <c r="C379" s="9" t="s">
        <v>1515</v>
      </c>
      <c r="D379" s="9" t="s">
        <v>459</v>
      </c>
      <c r="E379" s="10" t="s">
        <v>54</v>
      </c>
      <c r="F379" s="11" t="s">
        <v>54</v>
      </c>
      <c r="G379" s="12" t="s">
        <v>32</v>
      </c>
      <c r="H379" s="12" t="s">
        <v>762</v>
      </c>
      <c r="I379" s="19" t="s">
        <v>32</v>
      </c>
      <c r="J379" s="13" t="s">
        <v>32</v>
      </c>
      <c r="K379" s="14" t="s">
        <v>55</v>
      </c>
      <c r="L379" s="14" t="s">
        <v>33</v>
      </c>
      <c r="M379" s="14" t="s">
        <v>35</v>
      </c>
      <c r="N379" s="15" t="s">
        <v>36</v>
      </c>
      <c r="O379" s="14" t="s">
        <v>37</v>
      </c>
      <c r="P379" s="14" t="s">
        <v>48</v>
      </c>
      <c r="Q379" s="14" t="s">
        <v>42</v>
      </c>
      <c r="R379" s="14" t="s">
        <v>36</v>
      </c>
      <c r="S379" s="14" t="s">
        <v>37</v>
      </c>
      <c r="T379" s="14">
        <f t="shared" si="1"/>
        <v>0</v>
      </c>
      <c r="U379" s="14">
        <f t="shared" si="2"/>
        <v>0</v>
      </c>
      <c r="V379" s="14">
        <f t="shared" si="3"/>
        <v>4</v>
      </c>
      <c r="W379" s="16">
        <f t="shared" si="4"/>
        <v>1</v>
      </c>
      <c r="X379" s="14" t="str">
        <f t="shared" si="5"/>
        <v>Hate Speech</v>
      </c>
      <c r="Y379" s="17">
        <f t="shared" si="6"/>
        <v>2.309401077</v>
      </c>
    </row>
    <row r="380">
      <c r="A380" s="7" t="s">
        <v>1516</v>
      </c>
      <c r="B380" s="8" t="s">
        <v>1517</v>
      </c>
      <c r="C380" s="9" t="s">
        <v>1518</v>
      </c>
      <c r="D380" s="9" t="s">
        <v>66</v>
      </c>
      <c r="E380" s="10" t="s">
        <v>66</v>
      </c>
      <c r="F380" s="18" t="s">
        <v>44</v>
      </c>
      <c r="G380" s="12" t="s">
        <v>45</v>
      </c>
      <c r="H380" s="12" t="s">
        <v>31</v>
      </c>
      <c r="I380" s="19" t="s">
        <v>32</v>
      </c>
      <c r="J380" s="13" t="s">
        <v>45</v>
      </c>
      <c r="K380" s="14" t="s">
        <v>55</v>
      </c>
      <c r="L380" s="14" t="s">
        <v>34</v>
      </c>
      <c r="M380" s="14" t="s">
        <v>35</v>
      </c>
      <c r="N380" s="15" t="s">
        <v>49</v>
      </c>
      <c r="O380" s="14" t="s">
        <v>115</v>
      </c>
      <c r="P380" s="14" t="s">
        <v>48</v>
      </c>
      <c r="Q380" s="14" t="s">
        <v>115</v>
      </c>
      <c r="R380" s="14" t="s">
        <v>48</v>
      </c>
      <c r="S380" s="14" t="s">
        <v>201</v>
      </c>
      <c r="T380" s="14">
        <f t="shared" si="1"/>
        <v>2</v>
      </c>
      <c r="U380" s="14">
        <f t="shared" si="2"/>
        <v>1</v>
      </c>
      <c r="V380" s="14">
        <f t="shared" si="3"/>
        <v>1</v>
      </c>
      <c r="W380" s="16">
        <f t="shared" si="4"/>
        <v>1</v>
      </c>
      <c r="X380" s="14" t="b">
        <f t="shared" si="5"/>
        <v>0</v>
      </c>
      <c r="Y380" s="17">
        <f t="shared" si="6"/>
        <v>0.5773502692</v>
      </c>
    </row>
    <row r="381">
      <c r="A381" s="7" t="s">
        <v>1519</v>
      </c>
      <c r="B381" s="8" t="s">
        <v>1520</v>
      </c>
      <c r="C381" s="9" t="s">
        <v>1521</v>
      </c>
      <c r="D381" s="9" t="s">
        <v>274</v>
      </c>
      <c r="E381" s="10" t="s">
        <v>1522</v>
      </c>
      <c r="F381" s="11" t="s">
        <v>1169</v>
      </c>
      <c r="G381" s="12" t="s">
        <v>31</v>
      </c>
      <c r="H381" s="12" t="s">
        <v>31</v>
      </c>
      <c r="I381" s="19" t="s">
        <v>32</v>
      </c>
      <c r="J381" s="13" t="s">
        <v>32</v>
      </c>
      <c r="K381" s="14" t="s">
        <v>55</v>
      </c>
      <c r="L381" s="14" t="s">
        <v>46</v>
      </c>
      <c r="M381" s="14" t="s">
        <v>47</v>
      </c>
      <c r="N381" s="15" t="s">
        <v>49</v>
      </c>
      <c r="O381" s="14" t="s">
        <v>77</v>
      </c>
      <c r="P381" s="14" t="s">
        <v>49</v>
      </c>
      <c r="Q381" s="14" t="s">
        <v>77</v>
      </c>
      <c r="R381" s="14" t="s">
        <v>36</v>
      </c>
      <c r="S381" s="14" t="s">
        <v>77</v>
      </c>
      <c r="T381" s="14">
        <f t="shared" si="1"/>
        <v>0</v>
      </c>
      <c r="U381" s="14">
        <f t="shared" si="2"/>
        <v>2</v>
      </c>
      <c r="V381" s="14">
        <f t="shared" si="3"/>
        <v>2</v>
      </c>
      <c r="W381" s="16">
        <f t="shared" si="4"/>
        <v>1</v>
      </c>
      <c r="X381" s="14" t="b">
        <f t="shared" si="5"/>
        <v>0</v>
      </c>
      <c r="Y381" s="17">
        <f t="shared" si="6"/>
        <v>1.154700538</v>
      </c>
    </row>
    <row r="382">
      <c r="A382" s="7" t="s">
        <v>1523</v>
      </c>
      <c r="B382" s="8" t="s">
        <v>1524</v>
      </c>
      <c r="C382" s="9" t="s">
        <v>1525</v>
      </c>
      <c r="D382" s="9" t="s">
        <v>83</v>
      </c>
      <c r="E382" s="10" t="s">
        <v>879</v>
      </c>
      <c r="F382" s="11" t="s">
        <v>121</v>
      </c>
      <c r="G382" s="12" t="s">
        <v>31</v>
      </c>
      <c r="H382" s="12" t="s">
        <v>31</v>
      </c>
      <c r="I382" s="19" t="s">
        <v>32</v>
      </c>
      <c r="J382" s="13" t="s">
        <v>31</v>
      </c>
      <c r="K382" s="14" t="s">
        <v>55</v>
      </c>
      <c r="L382" s="14" t="s">
        <v>61</v>
      </c>
      <c r="M382" s="14" t="s">
        <v>35</v>
      </c>
      <c r="N382" s="15" t="s">
        <v>36</v>
      </c>
      <c r="O382" s="14" t="s">
        <v>83</v>
      </c>
      <c r="P382" s="14" t="s">
        <v>36</v>
      </c>
      <c r="Q382" s="14" t="s">
        <v>366</v>
      </c>
      <c r="R382" s="14" t="s">
        <v>36</v>
      </c>
      <c r="S382" s="14" t="s">
        <v>83</v>
      </c>
      <c r="T382" s="14">
        <f t="shared" si="1"/>
        <v>0</v>
      </c>
      <c r="U382" s="14">
        <f t="shared" si="2"/>
        <v>3</v>
      </c>
      <c r="V382" s="14">
        <f t="shared" si="3"/>
        <v>1</v>
      </c>
      <c r="W382" s="16">
        <f t="shared" si="4"/>
        <v>1</v>
      </c>
      <c r="X382" s="14" t="str">
        <f t="shared" si="5"/>
        <v>Offensive</v>
      </c>
      <c r="Y382" s="17">
        <f t="shared" si="6"/>
        <v>1.527525232</v>
      </c>
    </row>
    <row r="383">
      <c r="A383" s="7" t="s">
        <v>1526</v>
      </c>
      <c r="B383" s="8" t="s">
        <v>1527</v>
      </c>
      <c r="C383" s="9" t="s">
        <v>1528</v>
      </c>
      <c r="D383" s="9" t="s">
        <v>225</v>
      </c>
      <c r="E383" s="10" t="s">
        <v>1529</v>
      </c>
      <c r="F383" s="18" t="s">
        <v>44</v>
      </c>
      <c r="G383" s="12" t="s">
        <v>31</v>
      </c>
      <c r="H383" s="12" t="s">
        <v>45</v>
      </c>
      <c r="I383" s="19" t="s">
        <v>32</v>
      </c>
      <c r="J383" s="13" t="s">
        <v>45</v>
      </c>
      <c r="K383" s="14" t="s">
        <v>55</v>
      </c>
      <c r="L383" s="14" t="s">
        <v>33</v>
      </c>
      <c r="M383" s="14" t="s">
        <v>35</v>
      </c>
      <c r="N383" s="15" t="s">
        <v>48</v>
      </c>
      <c r="O383" s="14" t="s">
        <v>42</v>
      </c>
      <c r="P383" s="14" t="s">
        <v>48</v>
      </c>
      <c r="Q383" s="14" t="s">
        <v>42</v>
      </c>
      <c r="R383" s="14" t="s">
        <v>48</v>
      </c>
      <c r="S383" s="14" t="s">
        <v>42</v>
      </c>
      <c r="T383" s="14">
        <f t="shared" si="1"/>
        <v>2</v>
      </c>
      <c r="U383" s="14">
        <f t="shared" si="2"/>
        <v>1</v>
      </c>
      <c r="V383" s="14">
        <f t="shared" si="3"/>
        <v>1</v>
      </c>
      <c r="W383" s="16">
        <f t="shared" si="4"/>
        <v>1</v>
      </c>
      <c r="X383" s="14" t="b">
        <f t="shared" si="5"/>
        <v>0</v>
      </c>
      <c r="Y383" s="17">
        <f t="shared" si="6"/>
        <v>0.5773502692</v>
      </c>
    </row>
    <row r="384">
      <c r="A384" s="7" t="s">
        <v>1530</v>
      </c>
      <c r="B384" s="8" t="s">
        <v>1531</v>
      </c>
      <c r="C384" s="9" t="s">
        <v>1532</v>
      </c>
      <c r="D384" s="9" t="s">
        <v>1533</v>
      </c>
      <c r="E384" s="10" t="s">
        <v>861</v>
      </c>
      <c r="F384" s="11" t="s">
        <v>464</v>
      </c>
      <c r="G384" s="12" t="s">
        <v>31</v>
      </c>
      <c r="H384" s="12" t="s">
        <v>31</v>
      </c>
      <c r="I384" s="19" t="s">
        <v>31</v>
      </c>
      <c r="J384" s="13" t="s">
        <v>31</v>
      </c>
      <c r="K384" s="14" t="s">
        <v>55</v>
      </c>
      <c r="L384" s="14" t="s">
        <v>34</v>
      </c>
      <c r="M384" s="14" t="s">
        <v>47</v>
      </c>
      <c r="N384" s="15" t="s">
        <v>48</v>
      </c>
      <c r="O384" s="14" t="s">
        <v>42</v>
      </c>
      <c r="P384" s="14" t="s">
        <v>48</v>
      </c>
      <c r="Q384" s="14" t="s">
        <v>83</v>
      </c>
      <c r="R384" s="14" t="s">
        <v>48</v>
      </c>
      <c r="S384" s="14" t="s">
        <v>42</v>
      </c>
      <c r="T384" s="14">
        <f t="shared" si="1"/>
        <v>0</v>
      </c>
      <c r="U384" s="14">
        <f t="shared" si="2"/>
        <v>4</v>
      </c>
      <c r="V384" s="14">
        <f t="shared" si="3"/>
        <v>0</v>
      </c>
      <c r="W384" s="16">
        <f t="shared" si="4"/>
        <v>1</v>
      </c>
      <c r="X384" s="14" t="str">
        <f t="shared" si="5"/>
        <v>Offensive</v>
      </c>
      <c r="Y384" s="17">
        <f t="shared" si="6"/>
        <v>2.309401077</v>
      </c>
    </row>
    <row r="385">
      <c r="A385" s="7" t="s">
        <v>1534</v>
      </c>
      <c r="B385" s="8" t="s">
        <v>1535</v>
      </c>
      <c r="C385" s="9" t="s">
        <v>1536</v>
      </c>
      <c r="D385" s="9" t="s">
        <v>66</v>
      </c>
      <c r="E385" s="10" t="s">
        <v>114</v>
      </c>
      <c r="F385" s="18" t="s">
        <v>44</v>
      </c>
      <c r="G385" s="12" t="s">
        <v>31</v>
      </c>
      <c r="H385" s="12" t="s">
        <v>31</v>
      </c>
      <c r="I385" s="19" t="s">
        <v>32</v>
      </c>
      <c r="J385" s="13" t="s">
        <v>45</v>
      </c>
      <c r="K385" s="14" t="s">
        <v>55</v>
      </c>
      <c r="L385" s="14" t="s">
        <v>46</v>
      </c>
      <c r="M385" s="14" t="s">
        <v>35</v>
      </c>
      <c r="N385" s="15" t="s">
        <v>36</v>
      </c>
      <c r="O385" s="14" t="s">
        <v>606</v>
      </c>
      <c r="P385" s="14" t="s">
        <v>36</v>
      </c>
      <c r="Q385" s="14" t="s">
        <v>606</v>
      </c>
      <c r="R385" s="14" t="s">
        <v>49</v>
      </c>
      <c r="S385" s="14" t="s">
        <v>115</v>
      </c>
      <c r="T385" s="14">
        <f t="shared" si="1"/>
        <v>1</v>
      </c>
      <c r="U385" s="14">
        <f t="shared" si="2"/>
        <v>2</v>
      </c>
      <c r="V385" s="14">
        <f t="shared" si="3"/>
        <v>1</v>
      </c>
      <c r="W385" s="16">
        <f t="shared" si="4"/>
        <v>1</v>
      </c>
      <c r="X385" s="14" t="b">
        <f t="shared" si="5"/>
        <v>0</v>
      </c>
      <c r="Y385" s="17">
        <f t="shared" si="6"/>
        <v>0.5773502692</v>
      </c>
    </row>
    <row r="386">
      <c r="A386" s="7" t="s">
        <v>1537</v>
      </c>
      <c r="B386" s="8" t="s">
        <v>1538</v>
      </c>
      <c r="C386" s="9" t="s">
        <v>1539</v>
      </c>
      <c r="D386" s="9" t="s">
        <v>42</v>
      </c>
      <c r="E386" s="10" t="s">
        <v>1540</v>
      </c>
      <c r="F386" s="18" t="s">
        <v>44</v>
      </c>
      <c r="G386" s="12" t="s">
        <v>45</v>
      </c>
      <c r="H386" s="12" t="s">
        <v>45</v>
      </c>
      <c r="I386" s="19" t="s">
        <v>45</v>
      </c>
      <c r="J386" s="13" t="s">
        <v>45</v>
      </c>
      <c r="K386" s="14" t="s">
        <v>55</v>
      </c>
      <c r="L386" s="14" t="s">
        <v>61</v>
      </c>
      <c r="M386" s="14" t="s">
        <v>47</v>
      </c>
      <c r="N386" s="15" t="s">
        <v>48</v>
      </c>
      <c r="O386" s="14" t="s">
        <v>42</v>
      </c>
      <c r="P386" s="14" t="s">
        <v>48</v>
      </c>
      <c r="Q386" s="14" t="s">
        <v>42</v>
      </c>
      <c r="R386" s="14" t="s">
        <v>48</v>
      </c>
      <c r="S386" s="14" t="s">
        <v>42</v>
      </c>
      <c r="T386" s="14">
        <f t="shared" si="1"/>
        <v>4</v>
      </c>
      <c r="U386" s="14">
        <f t="shared" si="2"/>
        <v>0</v>
      </c>
      <c r="V386" s="14">
        <f t="shared" si="3"/>
        <v>0</v>
      </c>
      <c r="W386" s="16">
        <f t="shared" si="4"/>
        <v>1</v>
      </c>
      <c r="X386" s="14" t="str">
        <f t="shared" si="5"/>
        <v>Normal</v>
      </c>
      <c r="Y386" s="17">
        <f t="shared" si="6"/>
        <v>2.309401077</v>
      </c>
    </row>
    <row r="387">
      <c r="A387" s="7" t="s">
        <v>1541</v>
      </c>
      <c r="B387" s="8" t="s">
        <v>1542</v>
      </c>
      <c r="C387" s="9" t="s">
        <v>1543</v>
      </c>
      <c r="D387" s="33"/>
      <c r="E387" s="10" t="s">
        <v>181</v>
      </c>
      <c r="F387" s="18" t="s">
        <v>44</v>
      </c>
      <c r="G387" s="12" t="s">
        <v>45</v>
      </c>
      <c r="H387" s="12" t="s">
        <v>45</v>
      </c>
      <c r="I387" s="19" t="s">
        <v>45</v>
      </c>
      <c r="J387" s="13" t="s">
        <v>45</v>
      </c>
      <c r="K387" s="14" t="s">
        <v>55</v>
      </c>
      <c r="L387" s="14" t="s">
        <v>33</v>
      </c>
      <c r="M387" s="14" t="s">
        <v>47</v>
      </c>
      <c r="N387" s="15" t="s">
        <v>48</v>
      </c>
      <c r="O387" s="14" t="s">
        <v>42</v>
      </c>
      <c r="P387" s="14" t="s">
        <v>48</v>
      </c>
      <c r="Q387" s="14" t="s">
        <v>42</v>
      </c>
      <c r="R387" s="14" t="s">
        <v>48</v>
      </c>
      <c r="S387" s="14" t="s">
        <v>42</v>
      </c>
      <c r="T387" s="14">
        <f t="shared" si="1"/>
        <v>4</v>
      </c>
      <c r="U387" s="14">
        <f t="shared" si="2"/>
        <v>0</v>
      </c>
      <c r="V387" s="14">
        <f t="shared" si="3"/>
        <v>0</v>
      </c>
      <c r="W387" s="16">
        <f t="shared" si="4"/>
        <v>1</v>
      </c>
      <c r="X387" s="14" t="str">
        <f t="shared" si="5"/>
        <v>Normal</v>
      </c>
      <c r="Y387" s="17">
        <f t="shared" si="6"/>
        <v>2.309401077</v>
      </c>
    </row>
    <row r="388">
      <c r="A388" s="7" t="s">
        <v>1544</v>
      </c>
      <c r="B388" s="8" t="s">
        <v>1545</v>
      </c>
      <c r="C388" s="9" t="s">
        <v>1546</v>
      </c>
      <c r="D388" s="9" t="s">
        <v>543</v>
      </c>
      <c r="E388" s="10" t="s">
        <v>109</v>
      </c>
      <c r="F388" s="11" t="s">
        <v>110</v>
      </c>
      <c r="G388" s="12" t="s">
        <v>31</v>
      </c>
      <c r="H388" s="12" t="s">
        <v>31</v>
      </c>
      <c r="I388" s="19" t="s">
        <v>31</v>
      </c>
      <c r="J388" s="13" t="s">
        <v>31</v>
      </c>
      <c r="K388" s="14" t="s">
        <v>55</v>
      </c>
      <c r="L388" s="14" t="s">
        <v>34</v>
      </c>
      <c r="M388" s="14" t="s">
        <v>35</v>
      </c>
      <c r="N388" s="15" t="s">
        <v>48</v>
      </c>
      <c r="O388" s="14" t="s">
        <v>42</v>
      </c>
      <c r="P388" s="14" t="s">
        <v>49</v>
      </c>
      <c r="Q388" s="14" t="s">
        <v>1547</v>
      </c>
      <c r="R388" s="14" t="s">
        <v>49</v>
      </c>
      <c r="S388" s="14" t="s">
        <v>42</v>
      </c>
      <c r="T388" s="14">
        <f t="shared" si="1"/>
        <v>0</v>
      </c>
      <c r="U388" s="14">
        <f t="shared" si="2"/>
        <v>4</v>
      </c>
      <c r="V388" s="14">
        <f t="shared" si="3"/>
        <v>0</v>
      </c>
      <c r="W388" s="16">
        <f t="shared" si="4"/>
        <v>1</v>
      </c>
      <c r="X388" s="14" t="str">
        <f t="shared" si="5"/>
        <v>Offensive</v>
      </c>
      <c r="Y388" s="17">
        <f t="shared" si="6"/>
        <v>2.309401077</v>
      </c>
    </row>
    <row r="389">
      <c r="A389" s="7" t="s">
        <v>1548</v>
      </c>
      <c r="B389" s="8" t="s">
        <v>1549</v>
      </c>
      <c r="C389" s="9" t="s">
        <v>1550</v>
      </c>
      <c r="D389" s="33"/>
      <c r="E389" s="10" t="s">
        <v>181</v>
      </c>
      <c r="F389" s="18" t="s">
        <v>44</v>
      </c>
      <c r="G389" s="12" t="s">
        <v>45</v>
      </c>
      <c r="H389" s="12" t="s">
        <v>31</v>
      </c>
      <c r="I389" s="19" t="s">
        <v>32</v>
      </c>
      <c r="J389" s="13" t="s">
        <v>45</v>
      </c>
      <c r="K389" s="14" t="s">
        <v>55</v>
      </c>
      <c r="L389" s="14" t="s">
        <v>46</v>
      </c>
      <c r="M389" s="14" t="s">
        <v>35</v>
      </c>
      <c r="N389" s="15" t="s">
        <v>48</v>
      </c>
      <c r="O389" s="14" t="s">
        <v>42</v>
      </c>
      <c r="P389" s="14" t="s">
        <v>49</v>
      </c>
      <c r="Q389" s="14" t="s">
        <v>62</v>
      </c>
      <c r="R389" s="14" t="s">
        <v>49</v>
      </c>
      <c r="S389" s="14" t="s">
        <v>42</v>
      </c>
      <c r="T389" s="14">
        <f t="shared" si="1"/>
        <v>2</v>
      </c>
      <c r="U389" s="14">
        <f t="shared" si="2"/>
        <v>1</v>
      </c>
      <c r="V389" s="14">
        <f t="shared" si="3"/>
        <v>1</v>
      </c>
      <c r="W389" s="16">
        <f t="shared" si="4"/>
        <v>1</v>
      </c>
      <c r="X389" s="14" t="b">
        <f t="shared" si="5"/>
        <v>0</v>
      </c>
      <c r="Y389" s="17">
        <f t="shared" si="6"/>
        <v>0.5773502692</v>
      </c>
    </row>
    <row r="390">
      <c r="A390" s="7" t="s">
        <v>1551</v>
      </c>
      <c r="B390" s="8" t="s">
        <v>1552</v>
      </c>
      <c r="C390" s="9" t="s">
        <v>1553</v>
      </c>
      <c r="D390" s="9" t="s">
        <v>366</v>
      </c>
      <c r="E390" s="10" t="s">
        <v>1554</v>
      </c>
      <c r="F390" s="18" t="s">
        <v>44</v>
      </c>
      <c r="G390" s="12" t="s">
        <v>31</v>
      </c>
      <c r="H390" s="12" t="s">
        <v>45</v>
      </c>
      <c r="I390" s="19" t="s">
        <v>32</v>
      </c>
      <c r="J390" s="13" t="s">
        <v>45</v>
      </c>
      <c r="K390" s="14" t="s">
        <v>55</v>
      </c>
      <c r="L390" s="14" t="s">
        <v>61</v>
      </c>
      <c r="M390" s="14" t="s">
        <v>47</v>
      </c>
      <c r="N390" s="15" t="s">
        <v>36</v>
      </c>
      <c r="O390" s="14" t="s">
        <v>83</v>
      </c>
      <c r="P390" s="14" t="s">
        <v>49</v>
      </c>
      <c r="Q390" s="14" t="s">
        <v>83</v>
      </c>
      <c r="R390" s="14" t="s">
        <v>49</v>
      </c>
      <c r="S390" s="14" t="s">
        <v>1103</v>
      </c>
      <c r="T390" s="14">
        <f t="shared" si="1"/>
        <v>2</v>
      </c>
      <c r="U390" s="14">
        <f t="shared" si="2"/>
        <v>1</v>
      </c>
      <c r="V390" s="14">
        <f t="shared" si="3"/>
        <v>1</v>
      </c>
      <c r="W390" s="16">
        <f t="shared" si="4"/>
        <v>1</v>
      </c>
      <c r="X390" s="14" t="b">
        <f t="shared" si="5"/>
        <v>0</v>
      </c>
      <c r="Y390" s="17">
        <f t="shared" si="6"/>
        <v>0.5773502692</v>
      </c>
    </row>
    <row r="391">
      <c r="A391" s="7" t="s">
        <v>1555</v>
      </c>
      <c r="B391" s="8" t="s">
        <v>1556</v>
      </c>
      <c r="C391" s="9" t="s">
        <v>1557</v>
      </c>
      <c r="D391" s="9" t="s">
        <v>66</v>
      </c>
      <c r="E391" s="10" t="s">
        <v>1494</v>
      </c>
      <c r="F391" s="11" t="s">
        <v>750</v>
      </c>
      <c r="G391" s="12" t="s">
        <v>32</v>
      </c>
      <c r="H391" s="12" t="s">
        <v>31</v>
      </c>
      <c r="I391" s="19" t="s">
        <v>32</v>
      </c>
      <c r="J391" s="13" t="s">
        <v>32</v>
      </c>
      <c r="K391" s="14" t="s">
        <v>55</v>
      </c>
      <c r="L391" s="14" t="s">
        <v>33</v>
      </c>
      <c r="M391" s="14" t="s">
        <v>35</v>
      </c>
      <c r="N391" s="15" t="s">
        <v>36</v>
      </c>
      <c r="O391" s="14" t="s">
        <v>413</v>
      </c>
      <c r="P391" s="14" t="s">
        <v>36</v>
      </c>
      <c r="Q391" s="14" t="s">
        <v>115</v>
      </c>
      <c r="R391" s="14" t="s">
        <v>36</v>
      </c>
      <c r="S391" s="14" t="s">
        <v>413</v>
      </c>
      <c r="T391" s="14">
        <f t="shared" si="1"/>
        <v>0</v>
      </c>
      <c r="U391" s="14">
        <f t="shared" si="2"/>
        <v>1</v>
      </c>
      <c r="V391" s="14">
        <f t="shared" si="3"/>
        <v>3</v>
      </c>
      <c r="W391" s="16">
        <f t="shared" si="4"/>
        <v>1</v>
      </c>
      <c r="X391" s="14" t="str">
        <f t="shared" si="5"/>
        <v>Hate Speech</v>
      </c>
      <c r="Y391" s="17">
        <f t="shared" si="6"/>
        <v>1.527525232</v>
      </c>
    </row>
    <row r="392">
      <c r="A392" s="7" t="s">
        <v>1558</v>
      </c>
      <c r="B392" s="8" t="s">
        <v>1559</v>
      </c>
      <c r="C392" s="9" t="s">
        <v>1560</v>
      </c>
      <c r="D392" s="9" t="s">
        <v>66</v>
      </c>
      <c r="E392" s="10" t="s">
        <v>66</v>
      </c>
      <c r="F392" s="11" t="s">
        <v>442</v>
      </c>
      <c r="G392" s="12" t="s">
        <v>32</v>
      </c>
      <c r="H392" s="12" t="s">
        <v>31</v>
      </c>
      <c r="I392" s="19" t="s">
        <v>32</v>
      </c>
      <c r="J392" s="13" t="s">
        <v>32</v>
      </c>
      <c r="K392" s="14" t="s">
        <v>55</v>
      </c>
      <c r="L392" s="14" t="s">
        <v>34</v>
      </c>
      <c r="M392" s="14" t="s">
        <v>35</v>
      </c>
      <c r="N392" s="15" t="s">
        <v>36</v>
      </c>
      <c r="O392" s="14" t="s">
        <v>443</v>
      </c>
      <c r="P392" s="14" t="s">
        <v>36</v>
      </c>
      <c r="Q392" s="14" t="s">
        <v>115</v>
      </c>
      <c r="R392" s="14" t="s">
        <v>36</v>
      </c>
      <c r="S392" s="14" t="s">
        <v>115</v>
      </c>
      <c r="T392" s="14">
        <f t="shared" si="1"/>
        <v>0</v>
      </c>
      <c r="U392" s="14">
        <f t="shared" si="2"/>
        <v>1</v>
      </c>
      <c r="V392" s="14">
        <f t="shared" si="3"/>
        <v>3</v>
      </c>
      <c r="W392" s="16">
        <f t="shared" si="4"/>
        <v>1</v>
      </c>
      <c r="X392" s="14" t="str">
        <f t="shared" si="5"/>
        <v>Hate Speech</v>
      </c>
      <c r="Y392" s="17">
        <f t="shared" si="6"/>
        <v>1.527525232</v>
      </c>
    </row>
    <row r="393">
      <c r="A393" s="7" t="s">
        <v>1561</v>
      </c>
      <c r="B393" s="8" t="s">
        <v>1562</v>
      </c>
      <c r="C393" s="9" t="s">
        <v>1563</v>
      </c>
      <c r="D393" s="9" t="s">
        <v>66</v>
      </c>
      <c r="E393" s="10" t="s">
        <v>114</v>
      </c>
      <c r="F393" s="11" t="s">
        <v>155</v>
      </c>
      <c r="G393" s="12" t="s">
        <v>31</v>
      </c>
      <c r="H393" s="12" t="s">
        <v>31</v>
      </c>
      <c r="I393" s="19" t="s">
        <v>32</v>
      </c>
      <c r="J393" s="13" t="s">
        <v>32</v>
      </c>
      <c r="K393" s="14" t="s">
        <v>55</v>
      </c>
      <c r="L393" s="14" t="s">
        <v>46</v>
      </c>
      <c r="M393" s="14" t="s">
        <v>35</v>
      </c>
      <c r="N393" s="15" t="s">
        <v>49</v>
      </c>
      <c r="O393" s="14" t="s">
        <v>169</v>
      </c>
      <c r="P393" s="14" t="s">
        <v>49</v>
      </c>
      <c r="Q393" s="14" t="s">
        <v>115</v>
      </c>
      <c r="R393" s="14" t="s">
        <v>49</v>
      </c>
      <c r="S393" s="14" t="s">
        <v>115</v>
      </c>
      <c r="T393" s="14">
        <f t="shared" si="1"/>
        <v>0</v>
      </c>
      <c r="U393" s="14">
        <f t="shared" si="2"/>
        <v>2</v>
      </c>
      <c r="V393" s="14">
        <f t="shared" si="3"/>
        <v>2</v>
      </c>
      <c r="W393" s="16">
        <f t="shared" si="4"/>
        <v>1</v>
      </c>
      <c r="X393" s="14" t="b">
        <f t="shared" si="5"/>
        <v>0</v>
      </c>
      <c r="Y393" s="17">
        <f t="shared" si="6"/>
        <v>1.154700538</v>
      </c>
    </row>
    <row r="394">
      <c r="A394" s="7" t="s">
        <v>1564</v>
      </c>
      <c r="B394" s="8" t="s">
        <v>1565</v>
      </c>
      <c r="C394" s="9" t="s">
        <v>1566</v>
      </c>
      <c r="D394" s="9" t="s">
        <v>83</v>
      </c>
      <c r="E394" s="10" t="s">
        <v>84</v>
      </c>
      <c r="F394" s="11" t="s">
        <v>121</v>
      </c>
      <c r="G394" s="12" t="s">
        <v>31</v>
      </c>
      <c r="H394" s="12" t="s">
        <v>45</v>
      </c>
      <c r="I394" s="19" t="s">
        <v>32</v>
      </c>
      <c r="J394" s="13" t="s">
        <v>31</v>
      </c>
      <c r="K394" s="14" t="s">
        <v>55</v>
      </c>
      <c r="L394" s="14" t="s">
        <v>61</v>
      </c>
      <c r="M394" s="14" t="s">
        <v>35</v>
      </c>
      <c r="N394" s="15" t="s">
        <v>36</v>
      </c>
      <c r="O394" s="14" t="s">
        <v>83</v>
      </c>
      <c r="P394" s="14" t="s">
        <v>36</v>
      </c>
      <c r="Q394" s="14" t="s">
        <v>1567</v>
      </c>
      <c r="R394" s="14" t="s">
        <v>48</v>
      </c>
      <c r="S394" s="14" t="s">
        <v>42</v>
      </c>
      <c r="T394" s="14">
        <f t="shared" si="1"/>
        <v>1</v>
      </c>
      <c r="U394" s="14">
        <f t="shared" si="2"/>
        <v>2</v>
      </c>
      <c r="V394" s="14">
        <f t="shared" si="3"/>
        <v>1</v>
      </c>
      <c r="W394" s="16">
        <f t="shared" si="4"/>
        <v>1</v>
      </c>
      <c r="X394" s="14" t="b">
        <f t="shared" si="5"/>
        <v>0</v>
      </c>
      <c r="Y394" s="17">
        <f t="shared" si="6"/>
        <v>0.5773502692</v>
      </c>
    </row>
    <row r="395">
      <c r="A395" s="7" t="s">
        <v>1568</v>
      </c>
      <c r="B395" s="8" t="s">
        <v>1569</v>
      </c>
      <c r="C395" s="9" t="s">
        <v>1570</v>
      </c>
      <c r="D395" s="9" t="s">
        <v>83</v>
      </c>
      <c r="E395" s="10" t="s">
        <v>121</v>
      </c>
      <c r="F395" s="11" t="s">
        <v>121</v>
      </c>
      <c r="G395" s="12" t="s">
        <v>31</v>
      </c>
      <c r="H395" s="12" t="s">
        <v>31</v>
      </c>
      <c r="I395" s="19" t="s">
        <v>31</v>
      </c>
      <c r="J395" s="13" t="s">
        <v>32</v>
      </c>
      <c r="K395" s="14" t="s">
        <v>55</v>
      </c>
      <c r="L395" s="14" t="s">
        <v>33</v>
      </c>
      <c r="M395" s="14" t="s">
        <v>47</v>
      </c>
      <c r="N395" s="15" t="s">
        <v>49</v>
      </c>
      <c r="O395" s="14" t="s">
        <v>83</v>
      </c>
      <c r="P395" s="14" t="s">
        <v>36</v>
      </c>
      <c r="Q395" s="14" t="s">
        <v>83</v>
      </c>
      <c r="R395" s="14" t="s">
        <v>49</v>
      </c>
      <c r="S395" s="14" t="s">
        <v>83</v>
      </c>
      <c r="T395" s="14">
        <f t="shared" si="1"/>
        <v>0</v>
      </c>
      <c r="U395" s="14">
        <f t="shared" si="2"/>
        <v>3</v>
      </c>
      <c r="V395" s="14">
        <f t="shared" si="3"/>
        <v>1</v>
      </c>
      <c r="W395" s="16">
        <f t="shared" si="4"/>
        <v>1</v>
      </c>
      <c r="X395" s="14" t="str">
        <f t="shared" si="5"/>
        <v>Offensive</v>
      </c>
      <c r="Y395" s="17">
        <f t="shared" si="6"/>
        <v>1.527525232</v>
      </c>
    </row>
    <row r="396">
      <c r="A396" s="7" t="s">
        <v>1571</v>
      </c>
      <c r="B396" s="8" t="s">
        <v>1572</v>
      </c>
      <c r="C396" s="9" t="s">
        <v>1573</v>
      </c>
      <c r="D396" s="35" t="s">
        <v>543</v>
      </c>
      <c r="E396" s="10" t="s">
        <v>109</v>
      </c>
      <c r="F396" s="11" t="s">
        <v>110</v>
      </c>
      <c r="G396" s="12" t="s">
        <v>31</v>
      </c>
      <c r="H396" s="12" t="s">
        <v>31</v>
      </c>
      <c r="I396" s="19" t="s">
        <v>31</v>
      </c>
      <c r="J396" s="13" t="s">
        <v>31</v>
      </c>
      <c r="K396" s="14" t="s">
        <v>55</v>
      </c>
      <c r="L396" s="14" t="s">
        <v>34</v>
      </c>
      <c r="M396" s="14" t="s">
        <v>35</v>
      </c>
      <c r="N396" s="15" t="s">
        <v>49</v>
      </c>
      <c r="O396" s="14" t="s">
        <v>105</v>
      </c>
      <c r="P396" s="14" t="s">
        <v>49</v>
      </c>
      <c r="Q396" s="14" t="s">
        <v>42</v>
      </c>
      <c r="R396" s="14" t="s">
        <v>49</v>
      </c>
      <c r="S396" s="14" t="s">
        <v>105</v>
      </c>
      <c r="T396" s="14">
        <f t="shared" si="1"/>
        <v>0</v>
      </c>
      <c r="U396" s="14">
        <f t="shared" si="2"/>
        <v>4</v>
      </c>
      <c r="V396" s="14">
        <f t="shared" si="3"/>
        <v>0</v>
      </c>
      <c r="W396" s="16">
        <f t="shared" si="4"/>
        <v>1</v>
      </c>
      <c r="X396" s="14" t="str">
        <f t="shared" si="5"/>
        <v>Offensive</v>
      </c>
      <c r="Y396" s="17">
        <f t="shared" si="6"/>
        <v>2.309401077</v>
      </c>
    </row>
    <row r="397">
      <c r="A397" s="7" t="s">
        <v>1574</v>
      </c>
      <c r="B397" s="8" t="s">
        <v>1575</v>
      </c>
      <c r="C397" s="9" t="s">
        <v>1576</v>
      </c>
      <c r="D397" s="33"/>
      <c r="E397" s="10" t="s">
        <v>54</v>
      </c>
      <c r="F397" s="11" t="s">
        <v>54</v>
      </c>
      <c r="G397" s="12"/>
      <c r="H397" s="12" t="s">
        <v>31</v>
      </c>
      <c r="I397" s="19" t="s">
        <v>31</v>
      </c>
      <c r="J397" s="13" t="s">
        <v>31</v>
      </c>
      <c r="K397" s="14" t="s">
        <v>55</v>
      </c>
      <c r="L397" s="14" t="s">
        <v>46</v>
      </c>
      <c r="M397" s="14" t="s">
        <v>35</v>
      </c>
      <c r="N397" s="15" t="s">
        <v>49</v>
      </c>
      <c r="O397" s="14" t="s">
        <v>37</v>
      </c>
      <c r="P397" s="14" t="s">
        <v>49</v>
      </c>
      <c r="Q397" s="14" t="s">
        <v>37</v>
      </c>
      <c r="R397" s="14" t="s">
        <v>49</v>
      </c>
      <c r="S397" s="14" t="s">
        <v>37</v>
      </c>
      <c r="T397" s="14">
        <f t="shared" si="1"/>
        <v>0</v>
      </c>
      <c r="U397" s="14">
        <f t="shared" si="2"/>
        <v>3</v>
      </c>
      <c r="V397" s="14">
        <f t="shared" si="3"/>
        <v>0</v>
      </c>
      <c r="W397" s="16">
        <f t="shared" si="4"/>
        <v>0.75</v>
      </c>
      <c r="X397" s="14" t="str">
        <f t="shared" si="5"/>
        <v>Offensive</v>
      </c>
      <c r="Y397" s="17">
        <f t="shared" si="6"/>
        <v>1.732050808</v>
      </c>
    </row>
    <row r="398">
      <c r="A398" s="7" t="s">
        <v>1577</v>
      </c>
      <c r="B398" s="8" t="s">
        <v>1578</v>
      </c>
      <c r="C398" s="9" t="s">
        <v>1579</v>
      </c>
      <c r="D398" s="9" t="s">
        <v>42</v>
      </c>
      <c r="E398" s="9" t="s">
        <v>42</v>
      </c>
      <c r="F398" s="18" t="s">
        <v>44</v>
      </c>
      <c r="G398" s="12"/>
      <c r="H398" s="12" t="s">
        <v>45</v>
      </c>
      <c r="I398" s="19" t="s">
        <v>31</v>
      </c>
      <c r="J398" s="13" t="s">
        <v>45</v>
      </c>
      <c r="K398" s="14" t="s">
        <v>55</v>
      </c>
      <c r="L398" s="14" t="s">
        <v>61</v>
      </c>
      <c r="M398" s="14" t="s">
        <v>35</v>
      </c>
      <c r="N398" s="15" t="s">
        <v>49</v>
      </c>
      <c r="O398" s="14" t="s">
        <v>83</v>
      </c>
      <c r="P398" s="14" t="s">
        <v>49</v>
      </c>
      <c r="Q398" s="14" t="s">
        <v>83</v>
      </c>
      <c r="R398" s="14" t="s">
        <v>48</v>
      </c>
      <c r="S398" s="14" t="s">
        <v>83</v>
      </c>
      <c r="T398" s="14">
        <f t="shared" si="1"/>
        <v>2</v>
      </c>
      <c r="U398" s="14">
        <f t="shared" si="2"/>
        <v>1</v>
      </c>
      <c r="V398" s="14">
        <f t="shared" si="3"/>
        <v>0</v>
      </c>
      <c r="W398" s="16">
        <f t="shared" si="4"/>
        <v>0.75</v>
      </c>
      <c r="X398" s="14" t="b">
        <f t="shared" si="5"/>
        <v>0</v>
      </c>
      <c r="Y398" s="17">
        <f t="shared" si="6"/>
        <v>1</v>
      </c>
    </row>
    <row r="399">
      <c r="A399" s="7" t="s">
        <v>1580</v>
      </c>
      <c r="B399" s="8" t="s">
        <v>1581</v>
      </c>
      <c r="C399" s="9" t="s">
        <v>1582</v>
      </c>
      <c r="D399" s="9" t="s">
        <v>1583</v>
      </c>
      <c r="E399" s="10" t="s">
        <v>1584</v>
      </c>
      <c r="F399" s="11" t="s">
        <v>597</v>
      </c>
      <c r="G399" s="12"/>
      <c r="H399" s="12" t="s">
        <v>31</v>
      </c>
      <c r="I399" s="19" t="s">
        <v>32</v>
      </c>
      <c r="J399" s="13" t="s">
        <v>32</v>
      </c>
      <c r="K399" s="14" t="s">
        <v>55</v>
      </c>
      <c r="L399" s="14" t="s">
        <v>33</v>
      </c>
      <c r="M399" s="14" t="s">
        <v>35</v>
      </c>
      <c r="N399" s="15" t="s">
        <v>36</v>
      </c>
      <c r="O399" s="14" t="s">
        <v>37</v>
      </c>
      <c r="P399" s="14" t="s">
        <v>36</v>
      </c>
      <c r="Q399" s="14" t="s">
        <v>37</v>
      </c>
      <c r="R399" s="14" t="s">
        <v>36</v>
      </c>
      <c r="S399" s="14" t="s">
        <v>37</v>
      </c>
      <c r="T399" s="14">
        <f t="shared" si="1"/>
        <v>0</v>
      </c>
      <c r="U399" s="14">
        <f t="shared" si="2"/>
        <v>1</v>
      </c>
      <c r="V399" s="14">
        <f t="shared" si="3"/>
        <v>2</v>
      </c>
      <c r="W399" s="16">
        <f t="shared" si="4"/>
        <v>0.75</v>
      </c>
      <c r="X399" s="14" t="b">
        <f t="shared" si="5"/>
        <v>0</v>
      </c>
      <c r="Y399" s="17">
        <f t="shared" si="6"/>
        <v>1</v>
      </c>
    </row>
    <row r="400">
      <c r="A400" s="7" t="s">
        <v>1585</v>
      </c>
      <c r="B400" s="8" t="s">
        <v>1586</v>
      </c>
      <c r="C400" s="9" t="s">
        <v>1587</v>
      </c>
      <c r="D400" s="26" t="s">
        <v>42</v>
      </c>
      <c r="E400" s="10" t="s">
        <v>1588</v>
      </c>
      <c r="F400" s="18" t="s">
        <v>44</v>
      </c>
      <c r="G400" s="12"/>
      <c r="H400" s="12" t="s">
        <v>45</v>
      </c>
      <c r="I400" s="19" t="s">
        <v>31</v>
      </c>
      <c r="J400" s="13" t="s">
        <v>45</v>
      </c>
      <c r="K400" s="14" t="s">
        <v>55</v>
      </c>
      <c r="L400" s="14" t="s">
        <v>34</v>
      </c>
      <c r="M400" s="14" t="s">
        <v>35</v>
      </c>
      <c r="N400" s="15" t="s">
        <v>49</v>
      </c>
      <c r="O400" s="14" t="s">
        <v>43</v>
      </c>
      <c r="P400" s="14" t="s">
        <v>49</v>
      </c>
      <c r="Q400" s="14" t="s">
        <v>863</v>
      </c>
      <c r="R400" s="14" t="s">
        <v>49</v>
      </c>
      <c r="S400" s="14" t="s">
        <v>43</v>
      </c>
      <c r="T400" s="14">
        <f t="shared" si="1"/>
        <v>2</v>
      </c>
      <c r="U400" s="14">
        <f t="shared" si="2"/>
        <v>1</v>
      </c>
      <c r="V400" s="14">
        <f t="shared" si="3"/>
        <v>0</v>
      </c>
      <c r="W400" s="16">
        <f t="shared" si="4"/>
        <v>0.75</v>
      </c>
      <c r="X400" s="14" t="b">
        <f t="shared" si="5"/>
        <v>0</v>
      </c>
      <c r="Y400" s="17">
        <f t="shared" si="6"/>
        <v>1</v>
      </c>
    </row>
    <row r="401">
      <c r="A401" s="7" t="s">
        <v>1589</v>
      </c>
      <c r="B401" s="8" t="s">
        <v>1590</v>
      </c>
      <c r="C401" s="9" t="s">
        <v>1591</v>
      </c>
      <c r="D401" s="33"/>
      <c r="E401" s="10" t="s">
        <v>43</v>
      </c>
      <c r="F401" s="18" t="s">
        <v>44</v>
      </c>
      <c r="G401" s="12"/>
      <c r="H401" s="12" t="s">
        <v>45</v>
      </c>
      <c r="I401" s="19" t="s">
        <v>31</v>
      </c>
      <c r="J401" s="13" t="s">
        <v>45</v>
      </c>
      <c r="K401" s="14" t="s">
        <v>55</v>
      </c>
      <c r="L401" s="14" t="s">
        <v>46</v>
      </c>
      <c r="M401" s="14" t="s">
        <v>35</v>
      </c>
      <c r="N401" s="15" t="s">
        <v>49</v>
      </c>
      <c r="O401" s="14" t="s">
        <v>658</v>
      </c>
      <c r="P401" s="14" t="s">
        <v>49</v>
      </c>
      <c r="Q401" s="14" t="s">
        <v>43</v>
      </c>
      <c r="R401" s="14" t="s">
        <v>36</v>
      </c>
      <c r="S401" s="14" t="s">
        <v>43</v>
      </c>
      <c r="T401" s="14">
        <f t="shared" si="1"/>
        <v>2</v>
      </c>
      <c r="U401" s="14">
        <f t="shared" si="2"/>
        <v>1</v>
      </c>
      <c r="V401" s="14">
        <f t="shared" si="3"/>
        <v>0</v>
      </c>
      <c r="W401" s="16">
        <f t="shared" si="4"/>
        <v>0.75</v>
      </c>
      <c r="X401" s="14" t="b">
        <f t="shared" si="5"/>
        <v>0</v>
      </c>
      <c r="Y401" s="17">
        <f t="shared" si="6"/>
        <v>1</v>
      </c>
    </row>
    <row r="402">
      <c r="A402" s="7" t="s">
        <v>1592</v>
      </c>
      <c r="B402" s="8" t="s">
        <v>1593</v>
      </c>
      <c r="C402" s="9" t="s">
        <v>1594</v>
      </c>
      <c r="D402" s="9" t="s">
        <v>225</v>
      </c>
      <c r="E402" s="10" t="s">
        <v>181</v>
      </c>
      <c r="F402" s="18" t="s">
        <v>44</v>
      </c>
      <c r="G402" s="12" t="s">
        <v>45</v>
      </c>
      <c r="H402" s="12" t="s">
        <v>45</v>
      </c>
      <c r="I402" s="19" t="s">
        <v>31</v>
      </c>
      <c r="J402" s="13" t="s">
        <v>45</v>
      </c>
      <c r="K402" s="14" t="s">
        <v>61</v>
      </c>
      <c r="L402" s="14" t="s">
        <v>33</v>
      </c>
      <c r="M402" s="14" t="s">
        <v>47</v>
      </c>
      <c r="N402" s="15" t="s">
        <v>48</v>
      </c>
      <c r="O402" s="14" t="s">
        <v>42</v>
      </c>
      <c r="P402" s="14" t="s">
        <v>48</v>
      </c>
      <c r="Q402" s="14" t="s">
        <v>43</v>
      </c>
      <c r="R402" s="14" t="s">
        <v>48</v>
      </c>
      <c r="S402" s="14" t="s">
        <v>42</v>
      </c>
      <c r="T402" s="14">
        <f t="shared" si="1"/>
        <v>3</v>
      </c>
      <c r="U402" s="14">
        <f t="shared" si="2"/>
        <v>1</v>
      </c>
      <c r="V402" s="14">
        <f t="shared" si="3"/>
        <v>0</v>
      </c>
      <c r="W402" s="16">
        <f t="shared" si="4"/>
        <v>1</v>
      </c>
      <c r="X402" s="14" t="str">
        <f t="shared" si="5"/>
        <v>Normal</v>
      </c>
      <c r="Y402" s="17">
        <f t="shared" si="6"/>
        <v>1.527525232</v>
      </c>
    </row>
    <row r="403">
      <c r="A403" s="7" t="s">
        <v>1595</v>
      </c>
      <c r="B403" s="8" t="s">
        <v>1596</v>
      </c>
      <c r="C403" s="9" t="s">
        <v>1597</v>
      </c>
      <c r="D403" s="9" t="s">
        <v>37</v>
      </c>
      <c r="E403" s="10" t="s">
        <v>53</v>
      </c>
      <c r="F403" s="11" t="s">
        <v>54</v>
      </c>
      <c r="G403" s="12" t="s">
        <v>31</v>
      </c>
      <c r="H403" s="12" t="s">
        <v>31</v>
      </c>
      <c r="I403" s="19" t="s">
        <v>32</v>
      </c>
      <c r="J403" s="13" t="s">
        <v>32</v>
      </c>
      <c r="K403" s="14" t="s">
        <v>61</v>
      </c>
      <c r="L403" s="14" t="s">
        <v>34</v>
      </c>
      <c r="M403" s="14" t="s">
        <v>47</v>
      </c>
      <c r="N403" s="15" t="s">
        <v>36</v>
      </c>
      <c r="O403" s="14" t="s">
        <v>37</v>
      </c>
      <c r="P403" s="14" t="s">
        <v>36</v>
      </c>
      <c r="Q403" s="14" t="s">
        <v>37</v>
      </c>
      <c r="R403" s="14" t="s">
        <v>36</v>
      </c>
      <c r="S403" s="14" t="s">
        <v>37</v>
      </c>
      <c r="T403" s="14">
        <f t="shared" si="1"/>
        <v>0</v>
      </c>
      <c r="U403" s="14">
        <f t="shared" si="2"/>
        <v>2</v>
      </c>
      <c r="V403" s="14">
        <f t="shared" si="3"/>
        <v>2</v>
      </c>
      <c r="W403" s="16">
        <f t="shared" si="4"/>
        <v>1</v>
      </c>
      <c r="X403" s="14" t="b">
        <f t="shared" si="5"/>
        <v>0</v>
      </c>
      <c r="Y403" s="17">
        <f t="shared" si="6"/>
        <v>1.154700538</v>
      </c>
    </row>
    <row r="404">
      <c r="A404" s="7" t="s">
        <v>1598</v>
      </c>
      <c r="B404" s="8" t="s">
        <v>1599</v>
      </c>
      <c r="C404" s="9" t="s">
        <v>1600</v>
      </c>
      <c r="D404" s="9" t="s">
        <v>42</v>
      </c>
      <c r="E404" s="10" t="s">
        <v>181</v>
      </c>
      <c r="F404" s="18" t="s">
        <v>44</v>
      </c>
      <c r="G404" s="12" t="s">
        <v>45</v>
      </c>
      <c r="H404" s="12" t="s">
        <v>45</v>
      </c>
      <c r="I404" s="19" t="s">
        <v>45</v>
      </c>
      <c r="J404" s="13" t="s">
        <v>45</v>
      </c>
      <c r="K404" s="14" t="s">
        <v>61</v>
      </c>
      <c r="L404" s="14" t="s">
        <v>46</v>
      </c>
      <c r="M404" s="14" t="s">
        <v>35</v>
      </c>
      <c r="N404" s="15" t="s">
        <v>48</v>
      </c>
      <c r="O404" s="14" t="s">
        <v>42</v>
      </c>
      <c r="P404" s="14" t="s">
        <v>49</v>
      </c>
      <c r="Q404" s="14" t="s">
        <v>62</v>
      </c>
      <c r="R404" s="14" t="s">
        <v>48</v>
      </c>
      <c r="S404" s="14" t="s">
        <v>62</v>
      </c>
      <c r="T404" s="14">
        <f t="shared" si="1"/>
        <v>4</v>
      </c>
      <c r="U404" s="14">
        <f t="shared" si="2"/>
        <v>0</v>
      </c>
      <c r="V404" s="14">
        <f t="shared" si="3"/>
        <v>0</v>
      </c>
      <c r="W404" s="16">
        <f t="shared" si="4"/>
        <v>1</v>
      </c>
      <c r="X404" s="14" t="str">
        <f t="shared" si="5"/>
        <v>Normal</v>
      </c>
      <c r="Y404" s="17">
        <f t="shared" si="6"/>
        <v>2.309401077</v>
      </c>
    </row>
    <row r="405">
      <c r="A405" s="7" t="s">
        <v>1601</v>
      </c>
      <c r="B405" s="8" t="s">
        <v>1602</v>
      </c>
      <c r="C405" s="9" t="s">
        <v>1603</v>
      </c>
      <c r="D405" s="9" t="s">
        <v>62</v>
      </c>
      <c r="E405" s="10" t="s">
        <v>62</v>
      </c>
      <c r="F405" s="11" t="s">
        <v>233</v>
      </c>
      <c r="G405" s="12" t="s">
        <v>31</v>
      </c>
      <c r="H405" s="12" t="s">
        <v>45</v>
      </c>
      <c r="I405" s="19" t="s">
        <v>32</v>
      </c>
      <c r="J405" s="13" t="s">
        <v>32</v>
      </c>
      <c r="K405" s="14" t="s">
        <v>61</v>
      </c>
      <c r="L405" s="14" t="s">
        <v>55</v>
      </c>
      <c r="M405" s="14" t="s">
        <v>47</v>
      </c>
      <c r="N405" s="15" t="s">
        <v>49</v>
      </c>
      <c r="O405" s="14" t="s">
        <v>531</v>
      </c>
      <c r="P405" s="14" t="s">
        <v>49</v>
      </c>
      <c r="Q405" s="14" t="s">
        <v>62</v>
      </c>
      <c r="R405" s="14" t="s">
        <v>36</v>
      </c>
      <c r="S405" s="14" t="s">
        <v>37</v>
      </c>
      <c r="T405" s="14">
        <f t="shared" si="1"/>
        <v>1</v>
      </c>
      <c r="U405" s="14">
        <f t="shared" si="2"/>
        <v>1</v>
      </c>
      <c r="V405" s="14">
        <f t="shared" si="3"/>
        <v>2</v>
      </c>
      <c r="W405" s="16">
        <f t="shared" si="4"/>
        <v>1</v>
      </c>
      <c r="X405" s="14" t="b">
        <f t="shared" si="5"/>
        <v>0</v>
      </c>
      <c r="Y405" s="17">
        <f t="shared" si="6"/>
        <v>0.5773502692</v>
      </c>
    </row>
    <row r="406">
      <c r="A406" s="7" t="s">
        <v>1604</v>
      </c>
      <c r="B406" s="8" t="s">
        <v>1605</v>
      </c>
      <c r="C406" s="9" t="s">
        <v>1606</v>
      </c>
      <c r="D406" s="9" t="s">
        <v>1607</v>
      </c>
      <c r="E406" s="10" t="s">
        <v>181</v>
      </c>
      <c r="F406" s="11" t="s">
        <v>1607</v>
      </c>
      <c r="G406" s="12" t="s">
        <v>31</v>
      </c>
      <c r="H406" s="12" t="s">
        <v>31</v>
      </c>
      <c r="I406" s="19" t="s">
        <v>31</v>
      </c>
      <c r="J406" s="13" t="s">
        <v>31</v>
      </c>
      <c r="K406" s="14" t="s">
        <v>61</v>
      </c>
      <c r="L406" s="14" t="s">
        <v>33</v>
      </c>
      <c r="M406" s="14" t="s">
        <v>47</v>
      </c>
      <c r="N406" s="15" t="s">
        <v>48</v>
      </c>
      <c r="O406" s="14" t="s">
        <v>42</v>
      </c>
      <c r="P406" s="14" t="s">
        <v>49</v>
      </c>
      <c r="Q406" s="14" t="s">
        <v>42</v>
      </c>
      <c r="R406" s="14" t="s">
        <v>48</v>
      </c>
      <c r="S406" s="14" t="s">
        <v>42</v>
      </c>
      <c r="T406" s="14">
        <f t="shared" si="1"/>
        <v>0</v>
      </c>
      <c r="U406" s="14">
        <f t="shared" si="2"/>
        <v>4</v>
      </c>
      <c r="V406" s="14">
        <f t="shared" si="3"/>
        <v>0</v>
      </c>
      <c r="W406" s="16">
        <f t="shared" si="4"/>
        <v>1</v>
      </c>
      <c r="X406" s="14" t="str">
        <f t="shared" si="5"/>
        <v>Offensive</v>
      </c>
      <c r="Y406" s="17">
        <f t="shared" si="6"/>
        <v>2.309401077</v>
      </c>
    </row>
    <row r="407">
      <c r="A407" s="7" t="s">
        <v>1608</v>
      </c>
      <c r="B407" s="8" t="s">
        <v>1609</v>
      </c>
      <c r="C407" s="9" t="s">
        <v>1610</v>
      </c>
      <c r="D407" s="9" t="s">
        <v>66</v>
      </c>
      <c r="E407" s="10" t="s">
        <v>200</v>
      </c>
      <c r="F407" s="11" t="s">
        <v>155</v>
      </c>
      <c r="G407" s="12" t="s">
        <v>31</v>
      </c>
      <c r="H407" s="12" t="s">
        <v>31</v>
      </c>
      <c r="I407" s="19" t="s">
        <v>32</v>
      </c>
      <c r="J407" s="13" t="s">
        <v>32</v>
      </c>
      <c r="K407" s="14" t="s">
        <v>61</v>
      </c>
      <c r="L407" s="14" t="s">
        <v>34</v>
      </c>
      <c r="M407" s="14" t="s">
        <v>47</v>
      </c>
      <c r="N407" s="15" t="s">
        <v>36</v>
      </c>
      <c r="O407" s="14" t="s">
        <v>116</v>
      </c>
      <c r="P407" s="14" t="s">
        <v>36</v>
      </c>
      <c r="Q407" s="14" t="s">
        <v>201</v>
      </c>
      <c r="R407" s="14" t="s">
        <v>49</v>
      </c>
      <c r="S407" s="14" t="s">
        <v>201</v>
      </c>
      <c r="T407" s="14">
        <f t="shared" si="1"/>
        <v>0</v>
      </c>
      <c r="U407" s="14">
        <f t="shared" si="2"/>
        <v>2</v>
      </c>
      <c r="V407" s="14">
        <f t="shared" si="3"/>
        <v>2</v>
      </c>
      <c r="W407" s="16">
        <f t="shared" si="4"/>
        <v>1</v>
      </c>
      <c r="X407" s="14" t="b">
        <f t="shared" si="5"/>
        <v>0</v>
      </c>
      <c r="Y407" s="17">
        <f t="shared" si="6"/>
        <v>1.154700538</v>
      </c>
    </row>
    <row r="408">
      <c r="A408" s="7" t="s">
        <v>1611</v>
      </c>
      <c r="B408" s="8" t="s">
        <v>1612</v>
      </c>
      <c r="C408" s="9" t="s">
        <v>1613</v>
      </c>
      <c r="D408" s="9" t="s">
        <v>1614</v>
      </c>
      <c r="E408" s="10" t="s">
        <v>1615</v>
      </c>
      <c r="F408" s="18" t="s">
        <v>44</v>
      </c>
      <c r="G408" s="12" t="s">
        <v>31</v>
      </c>
      <c r="H408" s="12" t="s">
        <v>31</v>
      </c>
      <c r="I408" s="19" t="s">
        <v>31</v>
      </c>
      <c r="J408" s="13" t="s">
        <v>45</v>
      </c>
      <c r="K408" s="14" t="s">
        <v>61</v>
      </c>
      <c r="L408" s="14" t="s">
        <v>46</v>
      </c>
      <c r="M408" s="14" t="s">
        <v>35</v>
      </c>
      <c r="N408" s="15" t="s">
        <v>49</v>
      </c>
      <c r="O408" s="14" t="s">
        <v>210</v>
      </c>
      <c r="P408" s="14" t="s">
        <v>48</v>
      </c>
      <c r="Q408" s="14" t="s">
        <v>183</v>
      </c>
      <c r="R408" s="14" t="s">
        <v>49</v>
      </c>
      <c r="S408" s="14" t="s">
        <v>105</v>
      </c>
      <c r="T408" s="14">
        <f t="shared" si="1"/>
        <v>1</v>
      </c>
      <c r="U408" s="14">
        <f t="shared" si="2"/>
        <v>3</v>
      </c>
      <c r="V408" s="14">
        <f t="shared" si="3"/>
        <v>0</v>
      </c>
      <c r="W408" s="16">
        <f t="shared" si="4"/>
        <v>1</v>
      </c>
      <c r="X408" s="14" t="str">
        <f t="shared" si="5"/>
        <v>Offensive</v>
      </c>
      <c r="Y408" s="17">
        <f t="shared" si="6"/>
        <v>1.527525232</v>
      </c>
    </row>
    <row r="409">
      <c r="A409" s="7" t="s">
        <v>1616</v>
      </c>
      <c r="B409" s="8" t="s">
        <v>1617</v>
      </c>
      <c r="C409" s="9" t="s">
        <v>1618</v>
      </c>
      <c r="D409" s="9" t="s">
        <v>83</v>
      </c>
      <c r="E409" s="10" t="s">
        <v>1619</v>
      </c>
      <c r="F409" s="11" t="s">
        <v>121</v>
      </c>
      <c r="G409" s="12" t="s">
        <v>31</v>
      </c>
      <c r="H409" s="12" t="s">
        <v>31</v>
      </c>
      <c r="I409" s="19" t="s">
        <v>32</v>
      </c>
      <c r="J409" s="13" t="s">
        <v>32</v>
      </c>
      <c r="K409" s="14" t="s">
        <v>61</v>
      </c>
      <c r="L409" s="14" t="s">
        <v>55</v>
      </c>
      <c r="M409" s="14" t="s">
        <v>35</v>
      </c>
      <c r="N409" s="15" t="s">
        <v>49</v>
      </c>
      <c r="O409" s="14" t="s">
        <v>105</v>
      </c>
      <c r="P409" s="14" t="s">
        <v>49</v>
      </c>
      <c r="Q409" s="14" t="s">
        <v>42</v>
      </c>
      <c r="R409" s="14" t="s">
        <v>49</v>
      </c>
      <c r="S409" s="14" t="s">
        <v>83</v>
      </c>
      <c r="T409" s="14">
        <f t="shared" si="1"/>
        <v>0</v>
      </c>
      <c r="U409" s="14">
        <f t="shared" si="2"/>
        <v>2</v>
      </c>
      <c r="V409" s="14">
        <f t="shared" si="3"/>
        <v>2</v>
      </c>
      <c r="W409" s="16">
        <f t="shared" si="4"/>
        <v>1</v>
      </c>
      <c r="X409" s="14" t="b">
        <f t="shared" si="5"/>
        <v>0</v>
      </c>
      <c r="Y409" s="17">
        <f t="shared" si="6"/>
        <v>1.154700538</v>
      </c>
    </row>
    <row r="410">
      <c r="A410" s="7" t="s">
        <v>1620</v>
      </c>
      <c r="B410" s="8" t="s">
        <v>1621</v>
      </c>
      <c r="C410" s="9" t="s">
        <v>1622</v>
      </c>
      <c r="D410" s="9" t="s">
        <v>225</v>
      </c>
      <c r="E410" s="10" t="s">
        <v>43</v>
      </c>
      <c r="F410" s="18" t="s">
        <v>44</v>
      </c>
      <c r="G410" s="12" t="s">
        <v>31</v>
      </c>
      <c r="H410" s="12" t="s">
        <v>31</v>
      </c>
      <c r="I410" s="19" t="s">
        <v>31</v>
      </c>
      <c r="J410" s="13" t="s">
        <v>45</v>
      </c>
      <c r="K410" s="14" t="s">
        <v>61</v>
      </c>
      <c r="L410" s="14" t="s">
        <v>33</v>
      </c>
      <c r="M410" s="14" t="s">
        <v>47</v>
      </c>
      <c r="N410" s="15" t="s">
        <v>49</v>
      </c>
      <c r="O410" s="14" t="s">
        <v>43</v>
      </c>
      <c r="P410" s="14" t="s">
        <v>49</v>
      </c>
      <c r="Q410" s="14" t="s">
        <v>43</v>
      </c>
      <c r="R410" s="14" t="s">
        <v>48</v>
      </c>
      <c r="S410" s="14" t="s">
        <v>42</v>
      </c>
      <c r="T410" s="14">
        <f t="shared" si="1"/>
        <v>1</v>
      </c>
      <c r="U410" s="14">
        <f t="shared" si="2"/>
        <v>3</v>
      </c>
      <c r="V410" s="14">
        <f t="shared" si="3"/>
        <v>0</v>
      </c>
      <c r="W410" s="16">
        <f t="shared" si="4"/>
        <v>1</v>
      </c>
      <c r="X410" s="14" t="str">
        <f t="shared" si="5"/>
        <v>Offensive</v>
      </c>
      <c r="Y410" s="17">
        <f t="shared" si="6"/>
        <v>1.527525232</v>
      </c>
    </row>
    <row r="411">
      <c r="A411" s="7" t="s">
        <v>1623</v>
      </c>
      <c r="B411" s="8" t="s">
        <v>1624</v>
      </c>
      <c r="C411" s="9" t="s">
        <v>1625</v>
      </c>
      <c r="D411" s="9" t="s">
        <v>72</v>
      </c>
      <c r="E411" s="10" t="s">
        <v>72</v>
      </c>
      <c r="F411" s="11" t="s">
        <v>73</v>
      </c>
      <c r="G411" s="12" t="s">
        <v>31</v>
      </c>
      <c r="H411" s="12" t="s">
        <v>31</v>
      </c>
      <c r="I411" s="19" t="s">
        <v>32</v>
      </c>
      <c r="J411" s="13" t="s">
        <v>32</v>
      </c>
      <c r="K411" s="14" t="s">
        <v>61</v>
      </c>
      <c r="L411" s="14" t="s">
        <v>34</v>
      </c>
      <c r="M411" s="14" t="s">
        <v>35</v>
      </c>
      <c r="N411" s="15" t="s">
        <v>36</v>
      </c>
      <c r="O411" s="14" t="s">
        <v>72</v>
      </c>
      <c r="P411" s="14" t="s">
        <v>36</v>
      </c>
      <c r="Q411" s="14" t="s">
        <v>72</v>
      </c>
      <c r="R411" s="14" t="s">
        <v>36</v>
      </c>
      <c r="S411" s="14" t="s">
        <v>1626</v>
      </c>
      <c r="T411" s="14">
        <f t="shared" si="1"/>
        <v>0</v>
      </c>
      <c r="U411" s="14">
        <f t="shared" si="2"/>
        <v>2</v>
      </c>
      <c r="V411" s="14">
        <f t="shared" si="3"/>
        <v>2</v>
      </c>
      <c r="W411" s="16">
        <f t="shared" si="4"/>
        <v>1</v>
      </c>
      <c r="X411" s="14" t="b">
        <f t="shared" si="5"/>
        <v>0</v>
      </c>
      <c r="Y411" s="17">
        <f t="shared" si="6"/>
        <v>1.154700538</v>
      </c>
    </row>
    <row r="412">
      <c r="A412" s="7" t="s">
        <v>1627</v>
      </c>
      <c r="B412" s="8" t="s">
        <v>1628</v>
      </c>
      <c r="C412" s="9" t="s">
        <v>1629</v>
      </c>
      <c r="D412" s="9" t="s">
        <v>37</v>
      </c>
      <c r="E412" s="10" t="s">
        <v>54</v>
      </c>
      <c r="F412" s="11" t="s">
        <v>54</v>
      </c>
      <c r="G412" s="12" t="s">
        <v>31</v>
      </c>
      <c r="H412" s="12" t="s">
        <v>31</v>
      </c>
      <c r="I412" s="19" t="s">
        <v>32</v>
      </c>
      <c r="J412" s="13" t="s">
        <v>32</v>
      </c>
      <c r="K412" s="14" t="s">
        <v>61</v>
      </c>
      <c r="L412" s="14" t="s">
        <v>46</v>
      </c>
      <c r="M412" s="14" t="s">
        <v>35</v>
      </c>
      <c r="N412" s="15" t="s">
        <v>36</v>
      </c>
      <c r="O412" s="14" t="s">
        <v>37</v>
      </c>
      <c r="P412" s="14" t="s">
        <v>36</v>
      </c>
      <c r="Q412" s="14" t="s">
        <v>37</v>
      </c>
      <c r="R412" s="14" t="s">
        <v>49</v>
      </c>
      <c r="S412" s="14" t="s">
        <v>37</v>
      </c>
      <c r="T412" s="14">
        <f t="shared" si="1"/>
        <v>0</v>
      </c>
      <c r="U412" s="14">
        <f t="shared" si="2"/>
        <v>2</v>
      </c>
      <c r="V412" s="14">
        <f t="shared" si="3"/>
        <v>2</v>
      </c>
      <c r="W412" s="16">
        <f t="shared" si="4"/>
        <v>1</v>
      </c>
      <c r="X412" s="14" t="b">
        <f t="shared" si="5"/>
        <v>0</v>
      </c>
      <c r="Y412" s="17">
        <f t="shared" si="6"/>
        <v>1.154700538</v>
      </c>
    </row>
    <row r="413">
      <c r="A413" s="7" t="s">
        <v>1630</v>
      </c>
      <c r="B413" s="8" t="s">
        <v>1631</v>
      </c>
      <c r="C413" s="9" t="s">
        <v>1632</v>
      </c>
      <c r="D413" s="9" t="s">
        <v>543</v>
      </c>
      <c r="E413" s="10" t="s">
        <v>109</v>
      </c>
      <c r="F413" s="11" t="s">
        <v>110</v>
      </c>
      <c r="G413" s="12" t="s">
        <v>31</v>
      </c>
      <c r="H413" s="12" t="s">
        <v>31</v>
      </c>
      <c r="I413" s="19" t="s">
        <v>31</v>
      </c>
      <c r="J413" s="13" t="s">
        <v>31</v>
      </c>
      <c r="K413" s="14" t="s">
        <v>61</v>
      </c>
      <c r="L413" s="14" t="s">
        <v>55</v>
      </c>
      <c r="M413" s="14" t="s">
        <v>47</v>
      </c>
      <c r="N413" s="15" t="s">
        <v>49</v>
      </c>
      <c r="O413" s="14" t="s">
        <v>42</v>
      </c>
      <c r="P413" s="14" t="s">
        <v>48</v>
      </c>
      <c r="Q413" s="14" t="s">
        <v>42</v>
      </c>
      <c r="R413" s="14" t="s">
        <v>48</v>
      </c>
      <c r="S413" s="14" t="s">
        <v>42</v>
      </c>
      <c r="T413" s="14">
        <f t="shared" si="1"/>
        <v>0</v>
      </c>
      <c r="U413" s="14">
        <f t="shared" si="2"/>
        <v>4</v>
      </c>
      <c r="V413" s="14">
        <f t="shared" si="3"/>
        <v>0</v>
      </c>
      <c r="W413" s="16">
        <f t="shared" si="4"/>
        <v>1</v>
      </c>
      <c r="X413" s="14" t="str">
        <f t="shared" si="5"/>
        <v>Offensive</v>
      </c>
      <c r="Y413" s="17">
        <f t="shared" si="6"/>
        <v>2.309401077</v>
      </c>
    </row>
    <row r="414">
      <c r="A414" s="7" t="s">
        <v>1633</v>
      </c>
      <c r="B414" s="8" t="s">
        <v>1634</v>
      </c>
      <c r="C414" s="9" t="s">
        <v>1635</v>
      </c>
      <c r="D414" s="9" t="s">
        <v>374</v>
      </c>
      <c r="E414" s="10" t="s">
        <v>181</v>
      </c>
      <c r="F414" s="18" t="s">
        <v>44</v>
      </c>
      <c r="G414" s="12" t="s">
        <v>45</v>
      </c>
      <c r="H414" s="12" t="s">
        <v>45</v>
      </c>
      <c r="I414" s="19" t="s">
        <v>45</v>
      </c>
      <c r="J414" s="13" t="s">
        <v>45</v>
      </c>
      <c r="K414" s="14" t="s">
        <v>61</v>
      </c>
      <c r="L414" s="14" t="s">
        <v>33</v>
      </c>
      <c r="M414" s="14" t="s">
        <v>47</v>
      </c>
      <c r="N414" s="15" t="s">
        <v>48</v>
      </c>
      <c r="O414" s="14" t="s">
        <v>42</v>
      </c>
      <c r="P414" s="14" t="s">
        <v>48</v>
      </c>
      <c r="Q414" s="14" t="s">
        <v>42</v>
      </c>
      <c r="R414" s="14" t="s">
        <v>49</v>
      </c>
      <c r="S414" s="14" t="s">
        <v>42</v>
      </c>
      <c r="T414" s="14">
        <f t="shared" si="1"/>
        <v>4</v>
      </c>
      <c r="U414" s="14">
        <f t="shared" si="2"/>
        <v>0</v>
      </c>
      <c r="V414" s="14">
        <f t="shared" si="3"/>
        <v>0</v>
      </c>
      <c r="W414" s="16">
        <f t="shared" si="4"/>
        <v>1</v>
      </c>
      <c r="X414" s="14" t="str">
        <f t="shared" si="5"/>
        <v>Normal</v>
      </c>
      <c r="Y414" s="17">
        <f t="shared" si="6"/>
        <v>2.309401077</v>
      </c>
    </row>
    <row r="415">
      <c r="A415" s="7" t="s">
        <v>1636</v>
      </c>
      <c r="B415" s="8" t="s">
        <v>1637</v>
      </c>
      <c r="C415" s="9" t="s">
        <v>1638</v>
      </c>
      <c r="D415" s="9" t="s">
        <v>1639</v>
      </c>
      <c r="E415" s="10" t="s">
        <v>29</v>
      </c>
      <c r="F415" s="18" t="s">
        <v>44</v>
      </c>
      <c r="G415" s="12" t="s">
        <v>31</v>
      </c>
      <c r="H415" s="12" t="s">
        <v>31</v>
      </c>
      <c r="I415" s="19" t="s">
        <v>32</v>
      </c>
      <c r="J415" s="13" t="s">
        <v>45</v>
      </c>
      <c r="K415" s="14" t="s">
        <v>61</v>
      </c>
      <c r="L415" s="14" t="s">
        <v>34</v>
      </c>
      <c r="M415" s="14" t="s">
        <v>35</v>
      </c>
      <c r="N415" s="15" t="s">
        <v>36</v>
      </c>
      <c r="O415" s="14" t="s">
        <v>975</v>
      </c>
      <c r="P415" s="14" t="s">
        <v>49</v>
      </c>
      <c r="Q415" s="14" t="s">
        <v>975</v>
      </c>
      <c r="R415" s="14" t="s">
        <v>36</v>
      </c>
      <c r="S415" s="14" t="s">
        <v>1640</v>
      </c>
      <c r="T415" s="14">
        <f t="shared" si="1"/>
        <v>1</v>
      </c>
      <c r="U415" s="14">
        <f t="shared" si="2"/>
        <v>2</v>
      </c>
      <c r="V415" s="14">
        <f t="shared" si="3"/>
        <v>1</v>
      </c>
      <c r="W415" s="16">
        <f t="shared" si="4"/>
        <v>1</v>
      </c>
      <c r="X415" s="14" t="b">
        <f t="shared" si="5"/>
        <v>0</v>
      </c>
      <c r="Y415" s="17">
        <f t="shared" si="6"/>
        <v>0.5773502692</v>
      </c>
    </row>
    <row r="416">
      <c r="A416" s="7" t="s">
        <v>1641</v>
      </c>
      <c r="B416" s="8" t="s">
        <v>1642</v>
      </c>
      <c r="C416" s="9" t="s">
        <v>1643</v>
      </c>
      <c r="D416" s="9" t="s">
        <v>42</v>
      </c>
      <c r="E416" s="10" t="s">
        <v>181</v>
      </c>
      <c r="F416" s="18" t="s">
        <v>44</v>
      </c>
      <c r="G416" s="12" t="s">
        <v>45</v>
      </c>
      <c r="H416" s="12" t="s">
        <v>45</v>
      </c>
      <c r="I416" s="19" t="s">
        <v>45</v>
      </c>
      <c r="J416" s="13" t="s">
        <v>45</v>
      </c>
      <c r="K416" s="14" t="s">
        <v>61</v>
      </c>
      <c r="L416" s="14" t="s">
        <v>46</v>
      </c>
      <c r="M416" s="14" t="s">
        <v>47</v>
      </c>
      <c r="N416" s="15" t="s">
        <v>48</v>
      </c>
      <c r="O416" s="14" t="s">
        <v>42</v>
      </c>
      <c r="P416" s="14" t="s">
        <v>48</v>
      </c>
      <c r="Q416" s="14" t="s">
        <v>105</v>
      </c>
      <c r="R416" s="14" t="s">
        <v>48</v>
      </c>
      <c r="S416" s="14" t="s">
        <v>42</v>
      </c>
      <c r="T416" s="14">
        <f t="shared" si="1"/>
        <v>4</v>
      </c>
      <c r="U416" s="14">
        <f t="shared" si="2"/>
        <v>0</v>
      </c>
      <c r="V416" s="14">
        <f t="shared" si="3"/>
        <v>0</v>
      </c>
      <c r="W416" s="16">
        <f t="shared" si="4"/>
        <v>1</v>
      </c>
      <c r="X416" s="14" t="str">
        <f t="shared" si="5"/>
        <v>Normal</v>
      </c>
      <c r="Y416" s="17">
        <f t="shared" si="6"/>
        <v>2.309401077</v>
      </c>
    </row>
    <row r="417">
      <c r="A417" s="7" t="s">
        <v>1644</v>
      </c>
      <c r="B417" s="8" t="s">
        <v>1645</v>
      </c>
      <c r="C417" s="9" t="s">
        <v>1646</v>
      </c>
      <c r="D417" s="9" t="s">
        <v>1647</v>
      </c>
      <c r="E417" s="10" t="s">
        <v>53</v>
      </c>
      <c r="F417" s="11" t="s">
        <v>54</v>
      </c>
      <c r="G417" s="12" t="s">
        <v>31</v>
      </c>
      <c r="H417" s="12" t="s">
        <v>31</v>
      </c>
      <c r="I417" s="19" t="s">
        <v>32</v>
      </c>
      <c r="J417" s="13" t="s">
        <v>31</v>
      </c>
      <c r="K417" s="14" t="s">
        <v>61</v>
      </c>
      <c r="L417" s="14" t="s">
        <v>55</v>
      </c>
      <c r="M417" s="14" t="s">
        <v>35</v>
      </c>
      <c r="N417" s="15" t="s">
        <v>36</v>
      </c>
      <c r="O417" s="14" t="s">
        <v>37</v>
      </c>
      <c r="P417" s="14" t="s">
        <v>36</v>
      </c>
      <c r="Q417" s="14" t="s">
        <v>95</v>
      </c>
      <c r="R417" s="14" t="s">
        <v>36</v>
      </c>
      <c r="S417" s="14" t="s">
        <v>94</v>
      </c>
      <c r="T417" s="14">
        <f t="shared" si="1"/>
        <v>0</v>
      </c>
      <c r="U417" s="14">
        <f t="shared" si="2"/>
        <v>3</v>
      </c>
      <c r="V417" s="14">
        <f t="shared" si="3"/>
        <v>1</v>
      </c>
      <c r="W417" s="16">
        <f t="shared" si="4"/>
        <v>1</v>
      </c>
      <c r="X417" s="14" t="str">
        <f t="shared" si="5"/>
        <v>Offensive</v>
      </c>
      <c r="Y417" s="17">
        <f t="shared" si="6"/>
        <v>1.527525232</v>
      </c>
    </row>
    <row r="418">
      <c r="A418" s="7" t="s">
        <v>1648</v>
      </c>
      <c r="B418" s="8" t="s">
        <v>1649</v>
      </c>
      <c r="C418" s="9" t="s">
        <v>1650</v>
      </c>
      <c r="D418" s="9" t="s">
        <v>42</v>
      </c>
      <c r="E418" s="10" t="s">
        <v>110</v>
      </c>
      <c r="F418" s="18" t="s">
        <v>44</v>
      </c>
      <c r="G418" s="12" t="s">
        <v>45</v>
      </c>
      <c r="H418" s="12" t="s">
        <v>45</v>
      </c>
      <c r="I418" s="19" t="s">
        <v>31</v>
      </c>
      <c r="J418" s="13" t="s">
        <v>45</v>
      </c>
      <c r="K418" s="14" t="s">
        <v>61</v>
      </c>
      <c r="L418" s="14" t="s">
        <v>33</v>
      </c>
      <c r="M418" s="14" t="s">
        <v>47</v>
      </c>
      <c r="N418" s="15" t="s">
        <v>48</v>
      </c>
      <c r="O418" s="14" t="s">
        <v>42</v>
      </c>
      <c r="P418" s="14" t="s">
        <v>48</v>
      </c>
      <c r="Q418" s="14" t="s">
        <v>42</v>
      </c>
      <c r="R418" s="14" t="s">
        <v>48</v>
      </c>
      <c r="S418" s="14" t="s">
        <v>42</v>
      </c>
      <c r="T418" s="14">
        <f t="shared" si="1"/>
        <v>3</v>
      </c>
      <c r="U418" s="14">
        <f t="shared" si="2"/>
        <v>1</v>
      </c>
      <c r="V418" s="14">
        <f t="shared" si="3"/>
        <v>0</v>
      </c>
      <c r="W418" s="16">
        <f t="shared" si="4"/>
        <v>1</v>
      </c>
      <c r="X418" s="14" t="str">
        <f t="shared" si="5"/>
        <v>Normal</v>
      </c>
      <c r="Y418" s="17">
        <f t="shared" si="6"/>
        <v>1.527525232</v>
      </c>
    </row>
    <row r="419">
      <c r="A419" s="7" t="s">
        <v>1651</v>
      </c>
      <c r="B419" s="8" t="s">
        <v>1652</v>
      </c>
      <c r="C419" s="9" t="s">
        <v>1653</v>
      </c>
      <c r="D419" s="9" t="s">
        <v>66</v>
      </c>
      <c r="E419" s="10" t="s">
        <v>66</v>
      </c>
      <c r="F419" s="11" t="s">
        <v>155</v>
      </c>
      <c r="G419" s="12" t="s">
        <v>31</v>
      </c>
      <c r="H419" s="12" t="s">
        <v>31</v>
      </c>
      <c r="I419" s="19" t="s">
        <v>32</v>
      </c>
      <c r="J419" s="13" t="s">
        <v>32</v>
      </c>
      <c r="K419" s="14" t="s">
        <v>61</v>
      </c>
      <c r="L419" s="14" t="s">
        <v>34</v>
      </c>
      <c r="M419" s="14" t="s">
        <v>35</v>
      </c>
      <c r="N419" s="15" t="s">
        <v>36</v>
      </c>
      <c r="O419" s="14" t="s">
        <v>115</v>
      </c>
      <c r="P419" s="14" t="s">
        <v>49</v>
      </c>
      <c r="Q419" s="14" t="s">
        <v>115</v>
      </c>
      <c r="R419" s="14" t="s">
        <v>36</v>
      </c>
      <c r="S419" s="14" t="s">
        <v>115</v>
      </c>
      <c r="T419" s="14">
        <f t="shared" si="1"/>
        <v>0</v>
      </c>
      <c r="U419" s="14">
        <f t="shared" si="2"/>
        <v>2</v>
      </c>
      <c r="V419" s="14">
        <f t="shared" si="3"/>
        <v>2</v>
      </c>
      <c r="W419" s="16">
        <f t="shared" si="4"/>
        <v>1</v>
      </c>
      <c r="X419" s="14" t="b">
        <f t="shared" si="5"/>
        <v>0</v>
      </c>
      <c r="Y419" s="17">
        <f t="shared" si="6"/>
        <v>1.154700538</v>
      </c>
    </row>
    <row r="420">
      <c r="A420" s="7" t="s">
        <v>1654</v>
      </c>
      <c r="B420" s="8" t="s">
        <v>1655</v>
      </c>
      <c r="C420" s="9" t="s">
        <v>1656</v>
      </c>
      <c r="D420" s="9" t="s">
        <v>93</v>
      </c>
      <c r="E420" s="10" t="s">
        <v>1657</v>
      </c>
      <c r="F420" s="11" t="s">
        <v>54</v>
      </c>
      <c r="G420" s="12" t="s">
        <v>31</v>
      </c>
      <c r="H420" s="12" t="s">
        <v>32</v>
      </c>
      <c r="I420" s="19" t="s">
        <v>32</v>
      </c>
      <c r="J420" s="13" t="s">
        <v>32</v>
      </c>
      <c r="K420" s="14" t="s">
        <v>61</v>
      </c>
      <c r="L420" s="14" t="s">
        <v>46</v>
      </c>
      <c r="M420" s="14" t="s">
        <v>35</v>
      </c>
      <c r="N420" s="15" t="s">
        <v>36</v>
      </c>
      <c r="O420" s="14" t="s">
        <v>531</v>
      </c>
      <c r="P420" s="14" t="s">
        <v>36</v>
      </c>
      <c r="Q420" s="14" t="s">
        <v>1658</v>
      </c>
      <c r="R420" s="14" t="s">
        <v>36</v>
      </c>
      <c r="S420" s="14" t="s">
        <v>94</v>
      </c>
      <c r="T420" s="14">
        <f t="shared" si="1"/>
        <v>0</v>
      </c>
      <c r="U420" s="14">
        <f t="shared" si="2"/>
        <v>1</v>
      </c>
      <c r="V420" s="14">
        <f t="shared" si="3"/>
        <v>3</v>
      </c>
      <c r="W420" s="16">
        <f t="shared" si="4"/>
        <v>1</v>
      </c>
      <c r="X420" s="14" t="str">
        <f t="shared" si="5"/>
        <v>Hate Speech</v>
      </c>
      <c r="Y420" s="17">
        <f t="shared" si="6"/>
        <v>1.527525232</v>
      </c>
    </row>
    <row r="421">
      <c r="A421" s="7" t="s">
        <v>1659</v>
      </c>
      <c r="B421" s="8" t="s">
        <v>1660</v>
      </c>
      <c r="C421" s="9" t="s">
        <v>1661</v>
      </c>
      <c r="D421" s="9" t="s">
        <v>66</v>
      </c>
      <c r="E421" s="10" t="s">
        <v>66</v>
      </c>
      <c r="F421" s="18" t="s">
        <v>44</v>
      </c>
      <c r="G421" s="12" t="s">
        <v>31</v>
      </c>
      <c r="H421" s="12" t="s">
        <v>45</v>
      </c>
      <c r="I421" s="19" t="s">
        <v>32</v>
      </c>
      <c r="J421" s="13" t="s">
        <v>45</v>
      </c>
      <c r="K421" s="14" t="s">
        <v>61</v>
      </c>
      <c r="L421" s="14" t="s">
        <v>55</v>
      </c>
      <c r="M421" s="14" t="s">
        <v>35</v>
      </c>
      <c r="N421" s="15" t="s">
        <v>49</v>
      </c>
      <c r="O421" s="14" t="s">
        <v>42</v>
      </c>
      <c r="P421" s="14" t="s">
        <v>36</v>
      </c>
      <c r="Q421" s="14" t="s">
        <v>115</v>
      </c>
      <c r="R421" s="14" t="s">
        <v>36</v>
      </c>
      <c r="S421" s="14" t="s">
        <v>115</v>
      </c>
      <c r="T421" s="14">
        <f t="shared" si="1"/>
        <v>2</v>
      </c>
      <c r="U421" s="14">
        <f t="shared" si="2"/>
        <v>1</v>
      </c>
      <c r="V421" s="14">
        <f t="shared" si="3"/>
        <v>1</v>
      </c>
      <c r="W421" s="16">
        <f t="shared" si="4"/>
        <v>1</v>
      </c>
      <c r="X421" s="14" t="b">
        <f t="shared" si="5"/>
        <v>0</v>
      </c>
      <c r="Y421" s="17">
        <f t="shared" si="6"/>
        <v>0.5773502692</v>
      </c>
    </row>
    <row r="422">
      <c r="A422" s="7" t="s">
        <v>1662</v>
      </c>
      <c r="B422" s="8" t="s">
        <v>1663</v>
      </c>
      <c r="C422" s="9" t="s">
        <v>1664</v>
      </c>
      <c r="D422" s="9" t="s">
        <v>66</v>
      </c>
      <c r="E422" s="10" t="s">
        <v>181</v>
      </c>
      <c r="F422" s="11" t="s">
        <v>155</v>
      </c>
      <c r="G422" s="12" t="s">
        <v>31</v>
      </c>
      <c r="H422" s="12" t="s">
        <v>45</v>
      </c>
      <c r="I422" s="19" t="s">
        <v>32</v>
      </c>
      <c r="J422" s="13" t="s">
        <v>32</v>
      </c>
      <c r="K422" s="14" t="s">
        <v>61</v>
      </c>
      <c r="L422" s="14" t="s">
        <v>33</v>
      </c>
      <c r="M422" s="14" t="s">
        <v>47</v>
      </c>
      <c r="N422" s="15" t="s">
        <v>48</v>
      </c>
      <c r="O422" s="14" t="s">
        <v>42</v>
      </c>
      <c r="P422" s="14" t="s">
        <v>48</v>
      </c>
      <c r="Q422" s="14" t="s">
        <v>259</v>
      </c>
      <c r="R422" s="14" t="s">
        <v>48</v>
      </c>
      <c r="S422" s="14" t="s">
        <v>42</v>
      </c>
      <c r="T422" s="14">
        <f t="shared" si="1"/>
        <v>1</v>
      </c>
      <c r="U422" s="14">
        <f t="shared" si="2"/>
        <v>1</v>
      </c>
      <c r="V422" s="14">
        <f t="shared" si="3"/>
        <v>2</v>
      </c>
      <c r="W422" s="16">
        <f t="shared" si="4"/>
        <v>1</v>
      </c>
      <c r="X422" s="14" t="b">
        <f t="shared" si="5"/>
        <v>0</v>
      </c>
      <c r="Y422" s="17">
        <f t="shared" si="6"/>
        <v>0.5773502692</v>
      </c>
    </row>
    <row r="423">
      <c r="A423" s="7" t="s">
        <v>1665</v>
      </c>
      <c r="B423" s="8" t="s">
        <v>1666</v>
      </c>
      <c r="C423" s="9" t="s">
        <v>1667</v>
      </c>
      <c r="D423" s="26" t="s">
        <v>42</v>
      </c>
      <c r="E423" s="10" t="s">
        <v>88</v>
      </c>
      <c r="F423" s="11" t="s">
        <v>464</v>
      </c>
      <c r="G423" s="12" t="s">
        <v>45</v>
      </c>
      <c r="H423" s="12" t="s">
        <v>45</v>
      </c>
      <c r="I423" s="19" t="s">
        <v>31</v>
      </c>
      <c r="J423" s="13" t="s">
        <v>31</v>
      </c>
      <c r="K423" s="14" t="s">
        <v>61</v>
      </c>
      <c r="L423" s="14" t="s">
        <v>34</v>
      </c>
      <c r="M423" s="14" t="s">
        <v>47</v>
      </c>
      <c r="N423" s="15" t="s">
        <v>48</v>
      </c>
      <c r="O423" s="14" t="s">
        <v>42</v>
      </c>
      <c r="P423" s="14" t="s">
        <v>48</v>
      </c>
      <c r="Q423" s="14" t="s">
        <v>42</v>
      </c>
      <c r="R423" s="14" t="s">
        <v>48</v>
      </c>
      <c r="S423" s="14" t="s">
        <v>42</v>
      </c>
      <c r="T423" s="14">
        <f t="shared" si="1"/>
        <v>2</v>
      </c>
      <c r="U423" s="14">
        <f t="shared" si="2"/>
        <v>2</v>
      </c>
      <c r="V423" s="14">
        <f t="shared" si="3"/>
        <v>0</v>
      </c>
      <c r="W423" s="16">
        <f t="shared" si="4"/>
        <v>1</v>
      </c>
      <c r="X423" s="14" t="b">
        <f t="shared" si="5"/>
        <v>0</v>
      </c>
      <c r="Y423" s="17">
        <f t="shared" si="6"/>
        <v>1.154700538</v>
      </c>
    </row>
    <row r="424">
      <c r="A424" s="7" t="s">
        <v>1668</v>
      </c>
      <c r="B424" s="8" t="s">
        <v>1669</v>
      </c>
      <c r="C424" s="9" t="s">
        <v>1670</v>
      </c>
      <c r="D424" s="9" t="s">
        <v>37</v>
      </c>
      <c r="E424" s="10" t="s">
        <v>54</v>
      </c>
      <c r="F424" s="11" t="s">
        <v>54</v>
      </c>
      <c r="G424" s="12" t="s">
        <v>45</v>
      </c>
      <c r="H424" s="12" t="s">
        <v>31</v>
      </c>
      <c r="I424" s="19" t="s">
        <v>32</v>
      </c>
      <c r="J424" s="13" t="s">
        <v>32</v>
      </c>
      <c r="K424" s="14" t="s">
        <v>61</v>
      </c>
      <c r="L424" s="14" t="s">
        <v>46</v>
      </c>
      <c r="M424" s="14" t="s">
        <v>47</v>
      </c>
      <c r="N424" s="15" t="s">
        <v>48</v>
      </c>
      <c r="O424" s="14" t="s">
        <v>42</v>
      </c>
      <c r="P424" s="14" t="s">
        <v>48</v>
      </c>
      <c r="Q424" s="14" t="s">
        <v>42</v>
      </c>
      <c r="R424" s="14" t="s">
        <v>36</v>
      </c>
      <c r="S424" s="14" t="s">
        <v>37</v>
      </c>
      <c r="T424" s="14">
        <f t="shared" si="1"/>
        <v>1</v>
      </c>
      <c r="U424" s="14">
        <f t="shared" si="2"/>
        <v>1</v>
      </c>
      <c r="V424" s="14">
        <f t="shared" si="3"/>
        <v>2</v>
      </c>
      <c r="W424" s="16">
        <f t="shared" si="4"/>
        <v>1</v>
      </c>
      <c r="X424" s="14" t="b">
        <f t="shared" si="5"/>
        <v>0</v>
      </c>
      <c r="Y424" s="17">
        <f t="shared" si="6"/>
        <v>0.5773502692</v>
      </c>
    </row>
    <row r="425">
      <c r="A425" s="7" t="s">
        <v>1671</v>
      </c>
      <c r="B425" s="8" t="s">
        <v>1672</v>
      </c>
      <c r="C425" s="9" t="s">
        <v>1673</v>
      </c>
      <c r="D425" s="9" t="s">
        <v>1639</v>
      </c>
      <c r="E425" s="10" t="s">
        <v>1674</v>
      </c>
      <c r="F425" s="11" t="s">
        <v>30</v>
      </c>
      <c r="G425" s="12" t="s">
        <v>31</v>
      </c>
      <c r="H425" s="12" t="s">
        <v>32</v>
      </c>
      <c r="I425" s="19" t="s">
        <v>32</v>
      </c>
      <c r="J425" s="13" t="s">
        <v>32</v>
      </c>
      <c r="K425" s="14" t="s">
        <v>61</v>
      </c>
      <c r="L425" s="14" t="s">
        <v>55</v>
      </c>
      <c r="M425" s="14" t="s">
        <v>35</v>
      </c>
      <c r="N425" s="15" t="s">
        <v>36</v>
      </c>
      <c r="O425" s="14" t="s">
        <v>975</v>
      </c>
      <c r="P425" s="14" t="s">
        <v>36</v>
      </c>
      <c r="Q425" s="14" t="s">
        <v>37</v>
      </c>
      <c r="R425" s="14" t="s">
        <v>36</v>
      </c>
      <c r="S425" s="14" t="s">
        <v>37</v>
      </c>
      <c r="T425" s="14">
        <f t="shared" si="1"/>
        <v>0</v>
      </c>
      <c r="U425" s="14">
        <f t="shared" si="2"/>
        <v>1</v>
      </c>
      <c r="V425" s="14">
        <f t="shared" si="3"/>
        <v>3</v>
      </c>
      <c r="W425" s="16">
        <f t="shared" si="4"/>
        <v>1</v>
      </c>
      <c r="X425" s="14" t="str">
        <f t="shared" si="5"/>
        <v>Hate Speech</v>
      </c>
      <c r="Y425" s="17">
        <f t="shared" si="6"/>
        <v>1.527525232</v>
      </c>
    </row>
    <row r="426">
      <c r="A426" s="7" t="s">
        <v>1675</v>
      </c>
      <c r="B426" s="8" t="s">
        <v>1676</v>
      </c>
      <c r="C426" s="9" t="s">
        <v>1677</v>
      </c>
      <c r="D426" s="9" t="s">
        <v>72</v>
      </c>
      <c r="E426" s="10" t="s">
        <v>73</v>
      </c>
      <c r="F426" s="11" t="s">
        <v>73</v>
      </c>
      <c r="G426" s="12" t="s">
        <v>31</v>
      </c>
      <c r="H426" s="12" t="s">
        <v>31</v>
      </c>
      <c r="I426" s="19" t="s">
        <v>32</v>
      </c>
      <c r="J426" s="13" t="s">
        <v>32</v>
      </c>
      <c r="K426" s="14" t="s">
        <v>61</v>
      </c>
      <c r="L426" s="14" t="s">
        <v>33</v>
      </c>
      <c r="M426" s="14" t="s">
        <v>35</v>
      </c>
      <c r="N426" s="15" t="s">
        <v>36</v>
      </c>
      <c r="O426" s="14" t="s">
        <v>72</v>
      </c>
      <c r="P426" s="14" t="s">
        <v>36</v>
      </c>
      <c r="Q426" s="14" t="s">
        <v>72</v>
      </c>
      <c r="R426" s="14" t="s">
        <v>36</v>
      </c>
      <c r="S426" s="14" t="s">
        <v>72</v>
      </c>
      <c r="T426" s="14">
        <f t="shared" si="1"/>
        <v>0</v>
      </c>
      <c r="U426" s="14">
        <f t="shared" si="2"/>
        <v>2</v>
      </c>
      <c r="V426" s="14">
        <f t="shared" si="3"/>
        <v>2</v>
      </c>
      <c r="W426" s="16">
        <f t="shared" si="4"/>
        <v>1</v>
      </c>
      <c r="X426" s="14" t="b">
        <f t="shared" si="5"/>
        <v>0</v>
      </c>
      <c r="Y426" s="17">
        <f t="shared" si="6"/>
        <v>1.154700538</v>
      </c>
    </row>
    <row r="427">
      <c r="A427" s="7" t="s">
        <v>1678</v>
      </c>
      <c r="B427" s="8" t="s">
        <v>1679</v>
      </c>
      <c r="C427" s="9" t="s">
        <v>1680</v>
      </c>
      <c r="D427" s="9" t="s">
        <v>543</v>
      </c>
      <c r="E427" s="10" t="s">
        <v>874</v>
      </c>
      <c r="F427" s="11" t="s">
        <v>43</v>
      </c>
      <c r="G427" s="12" t="s">
        <v>45</v>
      </c>
      <c r="H427" s="12" t="s">
        <v>31</v>
      </c>
      <c r="I427" s="19" t="s">
        <v>31</v>
      </c>
      <c r="J427" s="13" t="s">
        <v>31</v>
      </c>
      <c r="K427" s="14" t="s">
        <v>61</v>
      </c>
      <c r="L427" s="14" t="s">
        <v>34</v>
      </c>
      <c r="M427" s="14" t="s">
        <v>47</v>
      </c>
      <c r="N427" s="15" t="s">
        <v>48</v>
      </c>
      <c r="O427" s="14" t="s">
        <v>42</v>
      </c>
      <c r="P427" s="14" t="s">
        <v>49</v>
      </c>
      <c r="Q427" s="14" t="s">
        <v>42</v>
      </c>
      <c r="R427" s="14" t="s">
        <v>49</v>
      </c>
      <c r="S427" s="14" t="s">
        <v>1681</v>
      </c>
      <c r="T427" s="14">
        <f t="shared" si="1"/>
        <v>1</v>
      </c>
      <c r="U427" s="14">
        <f t="shared" si="2"/>
        <v>3</v>
      </c>
      <c r="V427" s="14">
        <f t="shared" si="3"/>
        <v>0</v>
      </c>
      <c r="W427" s="16">
        <f t="shared" si="4"/>
        <v>1</v>
      </c>
      <c r="X427" s="14" t="str">
        <f t="shared" si="5"/>
        <v>Offensive</v>
      </c>
      <c r="Y427" s="17">
        <f t="shared" si="6"/>
        <v>1.527525232</v>
      </c>
    </row>
    <row r="428">
      <c r="A428" s="7" t="s">
        <v>1682</v>
      </c>
      <c r="B428" s="8" t="s">
        <v>1683</v>
      </c>
      <c r="C428" s="9" t="s">
        <v>1684</v>
      </c>
      <c r="D428" s="9" t="s">
        <v>66</v>
      </c>
      <c r="E428" s="10" t="s">
        <v>1685</v>
      </c>
      <c r="F428" s="11" t="s">
        <v>703</v>
      </c>
      <c r="G428" s="12" t="s">
        <v>32</v>
      </c>
      <c r="H428" s="12" t="s">
        <v>32</v>
      </c>
      <c r="I428" s="19" t="s">
        <v>32</v>
      </c>
      <c r="J428" s="13" t="s">
        <v>32</v>
      </c>
      <c r="K428" s="14" t="s">
        <v>61</v>
      </c>
      <c r="L428" s="14" t="s">
        <v>46</v>
      </c>
      <c r="M428" s="14" t="s">
        <v>35</v>
      </c>
      <c r="N428" s="15" t="s">
        <v>49</v>
      </c>
      <c r="O428" s="14" t="s">
        <v>1686</v>
      </c>
      <c r="P428" s="14" t="s">
        <v>36</v>
      </c>
      <c r="Q428" s="14" t="s">
        <v>201</v>
      </c>
      <c r="R428" s="14" t="s">
        <v>36</v>
      </c>
      <c r="S428" s="14" t="s">
        <v>201</v>
      </c>
      <c r="T428" s="14">
        <f t="shared" si="1"/>
        <v>0</v>
      </c>
      <c r="U428" s="14">
        <f t="shared" si="2"/>
        <v>0</v>
      </c>
      <c r="V428" s="14">
        <f t="shared" si="3"/>
        <v>4</v>
      </c>
      <c r="W428" s="16">
        <f t="shared" si="4"/>
        <v>1</v>
      </c>
      <c r="X428" s="14" t="str">
        <f t="shared" si="5"/>
        <v>Hate Speech</v>
      </c>
      <c r="Y428" s="17">
        <f t="shared" si="6"/>
        <v>2.309401077</v>
      </c>
    </row>
    <row r="429">
      <c r="A429" s="7" t="s">
        <v>1687</v>
      </c>
      <c r="B429" s="8" t="s">
        <v>1688</v>
      </c>
      <c r="C429" s="9" t="s">
        <v>1689</v>
      </c>
      <c r="D429" s="9" t="s">
        <v>440</v>
      </c>
      <c r="E429" s="10" t="s">
        <v>1690</v>
      </c>
      <c r="F429" s="18" t="s">
        <v>44</v>
      </c>
      <c r="G429" s="12" t="s">
        <v>45</v>
      </c>
      <c r="H429" s="12" t="s">
        <v>31</v>
      </c>
      <c r="I429" s="19" t="s">
        <v>32</v>
      </c>
      <c r="J429" s="13" t="s">
        <v>45</v>
      </c>
      <c r="K429" s="14" t="s">
        <v>61</v>
      </c>
      <c r="L429" s="14" t="s">
        <v>55</v>
      </c>
      <c r="M429" s="14" t="s">
        <v>35</v>
      </c>
      <c r="N429" s="15" t="s">
        <v>49</v>
      </c>
      <c r="O429" s="14" t="s">
        <v>1151</v>
      </c>
      <c r="P429" s="14" t="s">
        <v>48</v>
      </c>
      <c r="Q429" s="14" t="s">
        <v>1151</v>
      </c>
      <c r="R429" s="14" t="s">
        <v>49</v>
      </c>
      <c r="S429" s="14" t="s">
        <v>352</v>
      </c>
      <c r="T429" s="14">
        <f t="shared" si="1"/>
        <v>2</v>
      </c>
      <c r="U429" s="14">
        <f t="shared" si="2"/>
        <v>1</v>
      </c>
      <c r="V429" s="14">
        <f t="shared" si="3"/>
        <v>1</v>
      </c>
      <c r="W429" s="16">
        <f t="shared" si="4"/>
        <v>1</v>
      </c>
      <c r="X429" s="14" t="b">
        <f t="shared" si="5"/>
        <v>0</v>
      </c>
      <c r="Y429" s="17">
        <f t="shared" si="6"/>
        <v>0.5773502692</v>
      </c>
    </row>
    <row r="430">
      <c r="A430" s="7" t="s">
        <v>1691</v>
      </c>
      <c r="B430" s="8" t="s">
        <v>1692</v>
      </c>
      <c r="C430" s="9" t="s">
        <v>1693</v>
      </c>
      <c r="D430" s="9" t="s">
        <v>42</v>
      </c>
      <c r="E430" s="10" t="s">
        <v>181</v>
      </c>
      <c r="F430" s="18" t="s">
        <v>44</v>
      </c>
      <c r="G430" s="12" t="s">
        <v>45</v>
      </c>
      <c r="H430" s="12" t="s">
        <v>45</v>
      </c>
      <c r="I430" s="19" t="s">
        <v>45</v>
      </c>
      <c r="J430" s="13" t="s">
        <v>45</v>
      </c>
      <c r="K430" s="14" t="s">
        <v>61</v>
      </c>
      <c r="L430" s="14" t="s">
        <v>33</v>
      </c>
      <c r="M430" s="14" t="s">
        <v>47</v>
      </c>
      <c r="N430" s="15" t="s">
        <v>48</v>
      </c>
      <c r="O430" s="14" t="s">
        <v>43</v>
      </c>
      <c r="P430" s="14" t="s">
        <v>48</v>
      </c>
      <c r="Q430" s="14" t="s">
        <v>42</v>
      </c>
      <c r="R430" s="14" t="s">
        <v>48</v>
      </c>
      <c r="S430" s="14" t="s">
        <v>43</v>
      </c>
      <c r="T430" s="14">
        <f t="shared" si="1"/>
        <v>4</v>
      </c>
      <c r="U430" s="14">
        <f t="shared" si="2"/>
        <v>0</v>
      </c>
      <c r="V430" s="14">
        <f t="shared" si="3"/>
        <v>0</v>
      </c>
      <c r="W430" s="16">
        <f t="shared" si="4"/>
        <v>1</v>
      </c>
      <c r="X430" s="14" t="str">
        <f t="shared" si="5"/>
        <v>Normal</v>
      </c>
      <c r="Y430" s="17">
        <f t="shared" si="6"/>
        <v>2.309401077</v>
      </c>
    </row>
    <row r="431">
      <c r="A431" s="7" t="s">
        <v>1694</v>
      </c>
      <c r="B431" s="8" t="s">
        <v>1695</v>
      </c>
      <c r="C431" s="9" t="s">
        <v>1696</v>
      </c>
      <c r="D431" s="9" t="s">
        <v>72</v>
      </c>
      <c r="E431" s="10" t="s">
        <v>72</v>
      </c>
      <c r="F431" s="18" t="s">
        <v>44</v>
      </c>
      <c r="G431" s="12" t="s">
        <v>45</v>
      </c>
      <c r="H431" s="12" t="s">
        <v>31</v>
      </c>
      <c r="I431" s="19" t="s">
        <v>32</v>
      </c>
      <c r="J431" s="13" t="s">
        <v>45</v>
      </c>
      <c r="K431" s="14" t="s">
        <v>61</v>
      </c>
      <c r="L431" s="14" t="s">
        <v>34</v>
      </c>
      <c r="M431" s="14" t="s">
        <v>35</v>
      </c>
      <c r="N431" s="15" t="s">
        <v>49</v>
      </c>
      <c r="O431" s="14" t="s">
        <v>72</v>
      </c>
      <c r="P431" s="14" t="s">
        <v>48</v>
      </c>
      <c r="Q431" s="14" t="s">
        <v>72</v>
      </c>
      <c r="R431" s="14" t="s">
        <v>49</v>
      </c>
      <c r="S431" s="14" t="s">
        <v>352</v>
      </c>
      <c r="T431" s="14">
        <f t="shared" si="1"/>
        <v>2</v>
      </c>
      <c r="U431" s="14">
        <f t="shared" si="2"/>
        <v>1</v>
      </c>
      <c r="V431" s="14">
        <f t="shared" si="3"/>
        <v>1</v>
      </c>
      <c r="W431" s="16">
        <f t="shared" si="4"/>
        <v>1</v>
      </c>
      <c r="X431" s="14" t="b">
        <f t="shared" si="5"/>
        <v>0</v>
      </c>
      <c r="Y431" s="17">
        <f t="shared" si="6"/>
        <v>0.5773502692</v>
      </c>
    </row>
    <row r="432">
      <c r="A432" s="7" t="s">
        <v>1697</v>
      </c>
      <c r="B432" s="8" t="s">
        <v>1698</v>
      </c>
      <c r="C432" s="9" t="s">
        <v>1699</v>
      </c>
      <c r="D432" s="9" t="s">
        <v>42</v>
      </c>
      <c r="E432" s="10" t="s">
        <v>110</v>
      </c>
      <c r="F432" s="11" t="s">
        <v>110</v>
      </c>
      <c r="G432" s="12" t="s">
        <v>31</v>
      </c>
      <c r="H432" s="12" t="s">
        <v>31</v>
      </c>
      <c r="I432" s="19" t="s">
        <v>31</v>
      </c>
      <c r="J432" s="13" t="s">
        <v>31</v>
      </c>
      <c r="K432" s="14" t="s">
        <v>61</v>
      </c>
      <c r="L432" s="14" t="s">
        <v>46</v>
      </c>
      <c r="M432" s="14" t="s">
        <v>47</v>
      </c>
      <c r="N432" s="15" t="s">
        <v>49</v>
      </c>
      <c r="O432" s="14" t="s">
        <v>105</v>
      </c>
      <c r="P432" s="14" t="s">
        <v>49</v>
      </c>
      <c r="Q432" s="14" t="s">
        <v>42</v>
      </c>
      <c r="R432" s="14" t="s">
        <v>49</v>
      </c>
      <c r="S432" s="14" t="s">
        <v>42</v>
      </c>
      <c r="T432" s="14">
        <f t="shared" si="1"/>
        <v>0</v>
      </c>
      <c r="U432" s="14">
        <f t="shared" si="2"/>
        <v>4</v>
      </c>
      <c r="V432" s="14">
        <f t="shared" si="3"/>
        <v>0</v>
      </c>
      <c r="W432" s="16">
        <f t="shared" si="4"/>
        <v>1</v>
      </c>
      <c r="X432" s="14" t="str">
        <f t="shared" si="5"/>
        <v>Offensive</v>
      </c>
      <c r="Y432" s="17">
        <f t="shared" si="6"/>
        <v>2.309401077</v>
      </c>
    </row>
    <row r="433">
      <c r="A433" s="7" t="s">
        <v>1700</v>
      </c>
      <c r="B433" s="8" t="s">
        <v>1701</v>
      </c>
      <c r="C433" s="9" t="s">
        <v>1702</v>
      </c>
      <c r="D433" s="9" t="s">
        <v>42</v>
      </c>
      <c r="E433" s="10" t="s">
        <v>83</v>
      </c>
      <c r="F433" s="18" t="s">
        <v>44</v>
      </c>
      <c r="G433" s="12" t="s">
        <v>45</v>
      </c>
      <c r="H433" s="12" t="s">
        <v>45</v>
      </c>
      <c r="I433" s="19" t="s">
        <v>31</v>
      </c>
      <c r="J433" s="13" t="s">
        <v>45</v>
      </c>
      <c r="K433" s="14" t="s">
        <v>61</v>
      </c>
      <c r="L433" s="14" t="s">
        <v>55</v>
      </c>
      <c r="M433" s="14" t="s">
        <v>47</v>
      </c>
      <c r="N433" s="15" t="s">
        <v>48</v>
      </c>
      <c r="O433" s="14" t="s">
        <v>42</v>
      </c>
      <c r="P433" s="14" t="s">
        <v>48</v>
      </c>
      <c r="Q433" s="14" t="s">
        <v>42</v>
      </c>
      <c r="R433" s="14" t="s">
        <v>48</v>
      </c>
      <c r="S433" s="14" t="s">
        <v>42</v>
      </c>
      <c r="T433" s="14">
        <f t="shared" si="1"/>
        <v>3</v>
      </c>
      <c r="U433" s="14">
        <f t="shared" si="2"/>
        <v>1</v>
      </c>
      <c r="V433" s="14">
        <f t="shared" si="3"/>
        <v>0</v>
      </c>
      <c r="W433" s="16">
        <f t="shared" si="4"/>
        <v>1</v>
      </c>
      <c r="X433" s="14" t="str">
        <f t="shared" si="5"/>
        <v>Normal</v>
      </c>
      <c r="Y433" s="17">
        <f t="shared" si="6"/>
        <v>1.527525232</v>
      </c>
    </row>
    <row r="434">
      <c r="A434" s="7" t="s">
        <v>1703</v>
      </c>
      <c r="B434" s="8" t="s">
        <v>1704</v>
      </c>
      <c r="C434" s="9" t="s">
        <v>1705</v>
      </c>
      <c r="D434" s="9" t="s">
        <v>42</v>
      </c>
      <c r="E434" s="10" t="s">
        <v>181</v>
      </c>
      <c r="F434" s="11" t="s">
        <v>43</v>
      </c>
      <c r="G434" s="12" t="s">
        <v>45</v>
      </c>
      <c r="H434" s="12" t="s">
        <v>45</v>
      </c>
      <c r="I434" s="19" t="s">
        <v>31</v>
      </c>
      <c r="J434" s="13" t="s">
        <v>31</v>
      </c>
      <c r="K434" s="14" t="s">
        <v>61</v>
      </c>
      <c r="L434" s="14" t="s">
        <v>33</v>
      </c>
      <c r="M434" s="14" t="s">
        <v>47</v>
      </c>
      <c r="N434" s="15" t="s">
        <v>48</v>
      </c>
      <c r="O434" s="14" t="s">
        <v>42</v>
      </c>
      <c r="P434" s="14" t="s">
        <v>48</v>
      </c>
      <c r="Q434" s="14" t="s">
        <v>42</v>
      </c>
      <c r="R434" s="14" t="s">
        <v>48</v>
      </c>
      <c r="S434" s="14" t="s">
        <v>42</v>
      </c>
      <c r="T434" s="14">
        <f t="shared" si="1"/>
        <v>2</v>
      </c>
      <c r="U434" s="14">
        <f t="shared" si="2"/>
        <v>2</v>
      </c>
      <c r="V434" s="14">
        <f t="shared" si="3"/>
        <v>0</v>
      </c>
      <c r="W434" s="16">
        <f t="shared" si="4"/>
        <v>1</v>
      </c>
      <c r="X434" s="14" t="b">
        <f t="shared" si="5"/>
        <v>0</v>
      </c>
      <c r="Y434" s="17">
        <f t="shared" si="6"/>
        <v>1.154700538</v>
      </c>
    </row>
    <row r="435">
      <c r="A435" s="7" t="s">
        <v>1706</v>
      </c>
      <c r="B435" s="8" t="s">
        <v>1707</v>
      </c>
      <c r="C435" s="9" t="s">
        <v>1708</v>
      </c>
      <c r="D435" s="9" t="s">
        <v>83</v>
      </c>
      <c r="E435" s="10" t="s">
        <v>83</v>
      </c>
      <c r="F435" s="11" t="s">
        <v>121</v>
      </c>
      <c r="G435" s="12" t="s">
        <v>31</v>
      </c>
      <c r="H435" s="12" t="s">
        <v>31</v>
      </c>
      <c r="I435" s="19" t="s">
        <v>31</v>
      </c>
      <c r="J435" s="13" t="s">
        <v>31</v>
      </c>
      <c r="K435" s="14" t="s">
        <v>61</v>
      </c>
      <c r="L435" s="14" t="s">
        <v>34</v>
      </c>
      <c r="M435" s="14" t="s">
        <v>47</v>
      </c>
      <c r="N435" s="15" t="s">
        <v>49</v>
      </c>
      <c r="O435" s="14" t="s">
        <v>83</v>
      </c>
      <c r="P435" s="14" t="s">
        <v>36</v>
      </c>
      <c r="Q435" s="14" t="s">
        <v>83</v>
      </c>
      <c r="R435" s="14" t="s">
        <v>36</v>
      </c>
      <c r="S435" s="14" t="s">
        <v>83</v>
      </c>
      <c r="T435" s="14">
        <f t="shared" si="1"/>
        <v>0</v>
      </c>
      <c r="U435" s="14">
        <f t="shared" si="2"/>
        <v>4</v>
      </c>
      <c r="V435" s="14">
        <f t="shared" si="3"/>
        <v>0</v>
      </c>
      <c r="W435" s="16">
        <f t="shared" si="4"/>
        <v>1</v>
      </c>
      <c r="X435" s="14" t="str">
        <f t="shared" si="5"/>
        <v>Offensive</v>
      </c>
      <c r="Y435" s="17">
        <f t="shared" si="6"/>
        <v>2.309401077</v>
      </c>
    </row>
    <row r="436">
      <c r="A436" s="7" t="s">
        <v>1709</v>
      </c>
      <c r="B436" s="8" t="s">
        <v>1710</v>
      </c>
      <c r="C436" s="9" t="s">
        <v>1711</v>
      </c>
      <c r="D436" s="9" t="s">
        <v>42</v>
      </c>
      <c r="E436" s="10" t="s">
        <v>181</v>
      </c>
      <c r="F436" s="18" t="s">
        <v>44</v>
      </c>
      <c r="G436" s="12" t="s">
        <v>45</v>
      </c>
      <c r="H436" s="12" t="s">
        <v>45</v>
      </c>
      <c r="I436" s="19" t="s">
        <v>45</v>
      </c>
      <c r="J436" s="13" t="s">
        <v>45</v>
      </c>
      <c r="K436" s="14" t="s">
        <v>61</v>
      </c>
      <c r="L436" s="14" t="s">
        <v>46</v>
      </c>
      <c r="M436" s="14" t="s">
        <v>47</v>
      </c>
      <c r="N436" s="15" t="s">
        <v>48</v>
      </c>
      <c r="O436" s="14" t="s">
        <v>42</v>
      </c>
      <c r="P436" s="14" t="s">
        <v>36</v>
      </c>
      <c r="Q436" s="14" t="s">
        <v>42</v>
      </c>
      <c r="R436" s="14" t="s">
        <v>48</v>
      </c>
      <c r="S436" s="14" t="s">
        <v>42</v>
      </c>
      <c r="T436" s="14">
        <f t="shared" si="1"/>
        <v>4</v>
      </c>
      <c r="U436" s="14">
        <f t="shared" si="2"/>
        <v>0</v>
      </c>
      <c r="V436" s="14">
        <f t="shared" si="3"/>
        <v>0</v>
      </c>
      <c r="W436" s="16">
        <f t="shared" si="4"/>
        <v>1</v>
      </c>
      <c r="X436" s="14" t="str">
        <f t="shared" si="5"/>
        <v>Normal</v>
      </c>
      <c r="Y436" s="17">
        <f t="shared" si="6"/>
        <v>2.309401077</v>
      </c>
    </row>
    <row r="437">
      <c r="A437" s="7" t="s">
        <v>1712</v>
      </c>
      <c r="B437" s="8" t="s">
        <v>1713</v>
      </c>
      <c r="C437" s="9" t="s">
        <v>1714</v>
      </c>
      <c r="D437" s="9" t="s">
        <v>83</v>
      </c>
      <c r="E437" s="10" t="s">
        <v>83</v>
      </c>
      <c r="F437" s="11" t="s">
        <v>121</v>
      </c>
      <c r="G437" s="12" t="s">
        <v>31</v>
      </c>
      <c r="H437" s="12" t="s">
        <v>31</v>
      </c>
      <c r="I437" s="19" t="s">
        <v>31</v>
      </c>
      <c r="J437" s="13" t="s">
        <v>31</v>
      </c>
      <c r="K437" s="14" t="s">
        <v>61</v>
      </c>
      <c r="L437" s="14" t="s">
        <v>55</v>
      </c>
      <c r="M437" s="14" t="s">
        <v>35</v>
      </c>
      <c r="N437" s="15" t="s">
        <v>48</v>
      </c>
      <c r="O437" s="14" t="s">
        <v>83</v>
      </c>
      <c r="P437" s="14" t="s">
        <v>36</v>
      </c>
      <c r="Q437" s="14" t="s">
        <v>83</v>
      </c>
      <c r="R437" s="14" t="s">
        <v>36</v>
      </c>
      <c r="S437" s="14" t="s">
        <v>83</v>
      </c>
      <c r="T437" s="14">
        <f t="shared" si="1"/>
        <v>0</v>
      </c>
      <c r="U437" s="14">
        <f t="shared" si="2"/>
        <v>4</v>
      </c>
      <c r="V437" s="14">
        <f t="shared" si="3"/>
        <v>0</v>
      </c>
      <c r="W437" s="16">
        <f t="shared" si="4"/>
        <v>1</v>
      </c>
      <c r="X437" s="14" t="str">
        <f t="shared" si="5"/>
        <v>Offensive</v>
      </c>
      <c r="Y437" s="17">
        <f t="shared" si="6"/>
        <v>2.309401077</v>
      </c>
    </row>
    <row r="438">
      <c r="A438" s="7" t="s">
        <v>1715</v>
      </c>
      <c r="B438" s="8" t="s">
        <v>1716</v>
      </c>
      <c r="C438" s="9" t="s">
        <v>1717</v>
      </c>
      <c r="D438" s="9" t="s">
        <v>93</v>
      </c>
      <c r="E438" s="10" t="s">
        <v>504</v>
      </c>
      <c r="F438" s="11" t="s">
        <v>504</v>
      </c>
      <c r="G438" s="12" t="s">
        <v>31</v>
      </c>
      <c r="H438" s="12" t="s">
        <v>31</v>
      </c>
      <c r="I438" s="19" t="s">
        <v>32</v>
      </c>
      <c r="J438" s="13" t="s">
        <v>32</v>
      </c>
      <c r="K438" s="14" t="s">
        <v>61</v>
      </c>
      <c r="L438" s="14" t="s">
        <v>33</v>
      </c>
      <c r="M438" s="14" t="s">
        <v>35</v>
      </c>
      <c r="N438" s="15" t="s">
        <v>36</v>
      </c>
      <c r="O438" s="14" t="s">
        <v>1718</v>
      </c>
      <c r="P438" s="14" t="s">
        <v>36</v>
      </c>
      <c r="Q438" s="14" t="s">
        <v>37</v>
      </c>
      <c r="R438" s="14" t="s">
        <v>48</v>
      </c>
      <c r="S438" s="14" t="s">
        <v>42</v>
      </c>
      <c r="T438" s="14">
        <f t="shared" si="1"/>
        <v>0</v>
      </c>
      <c r="U438" s="14">
        <f t="shared" si="2"/>
        <v>2</v>
      </c>
      <c r="V438" s="14">
        <f t="shared" si="3"/>
        <v>2</v>
      </c>
      <c r="W438" s="16">
        <f t="shared" si="4"/>
        <v>1</v>
      </c>
      <c r="X438" s="14" t="b">
        <f t="shared" si="5"/>
        <v>0</v>
      </c>
      <c r="Y438" s="17">
        <f t="shared" si="6"/>
        <v>1.154700538</v>
      </c>
    </row>
    <row r="439">
      <c r="A439" s="7" t="s">
        <v>1719</v>
      </c>
      <c r="B439" s="8" t="s">
        <v>1720</v>
      </c>
      <c r="C439" s="9" t="s">
        <v>1721</v>
      </c>
      <c r="D439" s="9" t="s">
        <v>93</v>
      </c>
      <c r="E439" s="10" t="s">
        <v>892</v>
      </c>
      <c r="F439" s="11" t="s">
        <v>323</v>
      </c>
      <c r="G439" s="12" t="s">
        <v>31</v>
      </c>
      <c r="H439" s="12" t="s">
        <v>31</v>
      </c>
      <c r="I439" s="19" t="s">
        <v>32</v>
      </c>
      <c r="J439" s="13" t="s">
        <v>32</v>
      </c>
      <c r="K439" s="14" t="s">
        <v>61</v>
      </c>
      <c r="L439" s="14" t="s">
        <v>34</v>
      </c>
      <c r="M439" s="14" t="s">
        <v>35</v>
      </c>
      <c r="N439" s="15" t="s">
        <v>36</v>
      </c>
      <c r="O439" s="14" t="s">
        <v>94</v>
      </c>
      <c r="P439" s="14" t="s">
        <v>36</v>
      </c>
      <c r="Q439" s="14" t="s">
        <v>94</v>
      </c>
      <c r="R439" s="14" t="s">
        <v>36</v>
      </c>
      <c r="S439" s="14" t="s">
        <v>37</v>
      </c>
      <c r="T439" s="14">
        <f t="shared" si="1"/>
        <v>0</v>
      </c>
      <c r="U439" s="14">
        <f t="shared" si="2"/>
        <v>2</v>
      </c>
      <c r="V439" s="14">
        <f t="shared" si="3"/>
        <v>2</v>
      </c>
      <c r="W439" s="16">
        <f t="shared" si="4"/>
        <v>1</v>
      </c>
      <c r="X439" s="14" t="b">
        <f t="shared" si="5"/>
        <v>0</v>
      </c>
      <c r="Y439" s="17">
        <f t="shared" si="6"/>
        <v>1.154700538</v>
      </c>
    </row>
    <row r="440">
      <c r="A440" s="7" t="s">
        <v>1722</v>
      </c>
      <c r="B440" s="8" t="s">
        <v>1723</v>
      </c>
      <c r="C440" s="9" t="s">
        <v>1724</v>
      </c>
      <c r="D440" s="9" t="s">
        <v>37</v>
      </c>
      <c r="E440" s="10" t="s">
        <v>54</v>
      </c>
      <c r="F440" s="11" t="s">
        <v>54</v>
      </c>
      <c r="G440" s="12" t="s">
        <v>31</v>
      </c>
      <c r="H440" s="12" t="s">
        <v>31</v>
      </c>
      <c r="I440" s="19" t="s">
        <v>32</v>
      </c>
      <c r="J440" s="13" t="s">
        <v>32</v>
      </c>
      <c r="K440" s="14" t="s">
        <v>61</v>
      </c>
      <c r="L440" s="14" t="s">
        <v>46</v>
      </c>
      <c r="M440" s="14" t="s">
        <v>35</v>
      </c>
      <c r="N440" s="15" t="s">
        <v>36</v>
      </c>
      <c r="O440" s="14" t="s">
        <v>37</v>
      </c>
      <c r="P440" s="14" t="s">
        <v>49</v>
      </c>
      <c r="Q440" s="14" t="s">
        <v>37</v>
      </c>
      <c r="R440" s="14" t="s">
        <v>36</v>
      </c>
      <c r="S440" s="14" t="s">
        <v>37</v>
      </c>
      <c r="T440" s="14">
        <f t="shared" si="1"/>
        <v>0</v>
      </c>
      <c r="U440" s="14">
        <f t="shared" si="2"/>
        <v>2</v>
      </c>
      <c r="V440" s="14">
        <f t="shared" si="3"/>
        <v>2</v>
      </c>
      <c r="W440" s="16">
        <f t="shared" si="4"/>
        <v>1</v>
      </c>
      <c r="X440" s="14" t="b">
        <f t="shared" si="5"/>
        <v>0</v>
      </c>
      <c r="Y440" s="17">
        <f t="shared" si="6"/>
        <v>1.154700538</v>
      </c>
    </row>
    <row r="441">
      <c r="A441" s="7" t="s">
        <v>1725</v>
      </c>
      <c r="B441" s="8" t="s">
        <v>1726</v>
      </c>
      <c r="C441" s="9" t="s">
        <v>1727</v>
      </c>
      <c r="D441" s="9" t="s">
        <v>83</v>
      </c>
      <c r="E441" s="10" t="s">
        <v>1619</v>
      </c>
      <c r="F441" s="11" t="s">
        <v>500</v>
      </c>
      <c r="G441" s="12" t="s">
        <v>31</v>
      </c>
      <c r="H441" s="12" t="s">
        <v>31</v>
      </c>
      <c r="I441" s="19" t="s">
        <v>32</v>
      </c>
      <c r="J441" s="13" t="s">
        <v>31</v>
      </c>
      <c r="K441" s="14" t="s">
        <v>61</v>
      </c>
      <c r="L441" s="14" t="s">
        <v>55</v>
      </c>
      <c r="M441" s="14" t="s">
        <v>35</v>
      </c>
      <c r="N441" s="15" t="s">
        <v>36</v>
      </c>
      <c r="O441" s="14" t="s">
        <v>83</v>
      </c>
      <c r="P441" s="14" t="s">
        <v>49</v>
      </c>
      <c r="Q441" s="14" t="s">
        <v>83</v>
      </c>
      <c r="R441" s="14" t="s">
        <v>48</v>
      </c>
      <c r="S441" s="14" t="s">
        <v>105</v>
      </c>
      <c r="T441" s="14">
        <f t="shared" si="1"/>
        <v>0</v>
      </c>
      <c r="U441" s="14">
        <f t="shared" si="2"/>
        <v>3</v>
      </c>
      <c r="V441" s="14">
        <f t="shared" si="3"/>
        <v>1</v>
      </c>
      <c r="W441" s="16">
        <f t="shared" si="4"/>
        <v>1</v>
      </c>
      <c r="X441" s="14" t="str">
        <f t="shared" si="5"/>
        <v>Offensive</v>
      </c>
      <c r="Y441" s="17">
        <f t="shared" si="6"/>
        <v>1.527525232</v>
      </c>
    </row>
    <row r="442">
      <c r="A442" s="7" t="s">
        <v>1728</v>
      </c>
      <c r="B442" s="8" t="s">
        <v>1729</v>
      </c>
      <c r="C442" s="9" t="s">
        <v>1730</v>
      </c>
      <c r="D442" s="9" t="s">
        <v>42</v>
      </c>
      <c r="E442" s="10" t="s">
        <v>181</v>
      </c>
      <c r="F442" s="18" t="s">
        <v>44</v>
      </c>
      <c r="G442" s="12" t="s">
        <v>45</v>
      </c>
      <c r="H442" s="12" t="s">
        <v>45</v>
      </c>
      <c r="I442" s="19" t="s">
        <v>45</v>
      </c>
      <c r="J442" s="13" t="s">
        <v>45</v>
      </c>
      <c r="K442" s="14" t="s">
        <v>61</v>
      </c>
      <c r="L442" s="14" t="s">
        <v>33</v>
      </c>
      <c r="M442" s="14" t="s">
        <v>35</v>
      </c>
      <c r="N442" s="15" t="s">
        <v>49</v>
      </c>
      <c r="O442" s="14" t="s">
        <v>283</v>
      </c>
      <c r="P442" s="14" t="s">
        <v>49</v>
      </c>
      <c r="Q442" s="14" t="s">
        <v>1117</v>
      </c>
      <c r="R442" s="14" t="s">
        <v>48</v>
      </c>
      <c r="S442" s="14" t="s">
        <v>42</v>
      </c>
      <c r="T442" s="14">
        <f t="shared" si="1"/>
        <v>4</v>
      </c>
      <c r="U442" s="14">
        <f t="shared" si="2"/>
        <v>0</v>
      </c>
      <c r="V442" s="14">
        <f t="shared" si="3"/>
        <v>0</v>
      </c>
      <c r="W442" s="16">
        <f t="shared" si="4"/>
        <v>1</v>
      </c>
      <c r="X442" s="14" t="str">
        <f t="shared" si="5"/>
        <v>Normal</v>
      </c>
      <c r="Y442" s="17">
        <f t="shared" si="6"/>
        <v>2.309401077</v>
      </c>
    </row>
    <row r="443">
      <c r="A443" s="7" t="s">
        <v>1731</v>
      </c>
      <c r="B443" s="8" t="s">
        <v>1732</v>
      </c>
      <c r="C443" s="9" t="s">
        <v>1733</v>
      </c>
      <c r="D443" s="9" t="s">
        <v>72</v>
      </c>
      <c r="E443" s="10" t="s">
        <v>72</v>
      </c>
      <c r="F443" s="11" t="s">
        <v>73</v>
      </c>
      <c r="G443" s="12" t="s">
        <v>31</v>
      </c>
      <c r="H443" s="12" t="s">
        <v>31</v>
      </c>
      <c r="I443" s="19" t="s">
        <v>32</v>
      </c>
      <c r="J443" s="13" t="s">
        <v>32</v>
      </c>
      <c r="K443" s="14" t="s">
        <v>61</v>
      </c>
      <c r="L443" s="14" t="s">
        <v>34</v>
      </c>
      <c r="M443" s="14" t="s">
        <v>35</v>
      </c>
      <c r="N443" s="15" t="s">
        <v>36</v>
      </c>
      <c r="O443" s="14" t="s">
        <v>72</v>
      </c>
      <c r="P443" s="14" t="s">
        <v>49</v>
      </c>
      <c r="Q443" s="14" t="s">
        <v>72</v>
      </c>
      <c r="R443" s="14" t="s">
        <v>49</v>
      </c>
      <c r="S443" s="14" t="s">
        <v>72</v>
      </c>
      <c r="T443" s="14">
        <f t="shared" si="1"/>
        <v>0</v>
      </c>
      <c r="U443" s="14">
        <f t="shared" si="2"/>
        <v>2</v>
      </c>
      <c r="V443" s="14">
        <f t="shared" si="3"/>
        <v>2</v>
      </c>
      <c r="W443" s="16">
        <f t="shared" si="4"/>
        <v>1</v>
      </c>
      <c r="X443" s="14" t="b">
        <f t="shared" si="5"/>
        <v>0</v>
      </c>
      <c r="Y443" s="17">
        <f t="shared" si="6"/>
        <v>1.154700538</v>
      </c>
    </row>
    <row r="444">
      <c r="A444" s="7" t="s">
        <v>1734</v>
      </c>
      <c r="B444" s="8" t="s">
        <v>1735</v>
      </c>
      <c r="C444" s="9" t="s">
        <v>1736</v>
      </c>
      <c r="D444" s="9" t="s">
        <v>374</v>
      </c>
      <c r="E444" s="10" t="s">
        <v>181</v>
      </c>
      <c r="F444" s="18" t="s">
        <v>44</v>
      </c>
      <c r="G444" s="12" t="s">
        <v>31</v>
      </c>
      <c r="H444" s="12" t="s">
        <v>31</v>
      </c>
      <c r="I444" s="19" t="s">
        <v>32</v>
      </c>
      <c r="J444" s="13" t="s">
        <v>32</v>
      </c>
      <c r="K444" s="14" t="s">
        <v>61</v>
      </c>
      <c r="L444" s="14" t="s">
        <v>46</v>
      </c>
      <c r="M444" s="14" t="s">
        <v>47</v>
      </c>
      <c r="N444" s="15" t="s">
        <v>49</v>
      </c>
      <c r="O444" s="14" t="s">
        <v>62</v>
      </c>
      <c r="P444" s="14" t="s">
        <v>48</v>
      </c>
      <c r="Q444" s="14" t="s">
        <v>42</v>
      </c>
      <c r="R444" s="14" t="s">
        <v>49</v>
      </c>
      <c r="S444" s="14" t="s">
        <v>42</v>
      </c>
      <c r="T444" s="14">
        <f t="shared" si="1"/>
        <v>0</v>
      </c>
      <c r="U444" s="14">
        <f t="shared" si="2"/>
        <v>2</v>
      </c>
      <c r="V444" s="14">
        <f t="shared" si="3"/>
        <v>2</v>
      </c>
      <c r="W444" s="16">
        <f t="shared" si="4"/>
        <v>1</v>
      </c>
      <c r="X444" s="14" t="b">
        <f t="shared" si="5"/>
        <v>0</v>
      </c>
      <c r="Y444" s="17">
        <f t="shared" si="6"/>
        <v>1.154700538</v>
      </c>
    </row>
    <row r="445">
      <c r="A445" s="7" t="s">
        <v>1737</v>
      </c>
      <c r="B445" s="8" t="s">
        <v>1738</v>
      </c>
      <c r="C445" s="9" t="s">
        <v>1739</v>
      </c>
      <c r="D445" s="9" t="s">
        <v>42</v>
      </c>
      <c r="E445" s="10" t="s">
        <v>62</v>
      </c>
      <c r="F445" s="18" t="s">
        <v>44</v>
      </c>
      <c r="G445" s="12" t="s">
        <v>45</v>
      </c>
      <c r="H445" s="12" t="s">
        <v>45</v>
      </c>
      <c r="I445" s="19" t="s">
        <v>31</v>
      </c>
      <c r="J445" s="13" t="s">
        <v>45</v>
      </c>
      <c r="K445" s="14" t="s">
        <v>61</v>
      </c>
      <c r="L445" s="14" t="s">
        <v>55</v>
      </c>
      <c r="M445" s="14" t="s">
        <v>47</v>
      </c>
      <c r="N445" s="15" t="s">
        <v>48</v>
      </c>
      <c r="O445" s="14" t="s">
        <v>42</v>
      </c>
      <c r="P445" s="14" t="s">
        <v>48</v>
      </c>
      <c r="Q445" s="14" t="s">
        <v>42</v>
      </c>
      <c r="R445" s="14" t="s">
        <v>48</v>
      </c>
      <c r="S445" s="14" t="s">
        <v>42</v>
      </c>
      <c r="T445" s="14">
        <f t="shared" si="1"/>
        <v>3</v>
      </c>
      <c r="U445" s="14">
        <f t="shared" si="2"/>
        <v>1</v>
      </c>
      <c r="V445" s="14">
        <f t="shared" si="3"/>
        <v>0</v>
      </c>
      <c r="W445" s="16">
        <f t="shared" si="4"/>
        <v>1</v>
      </c>
      <c r="X445" s="14" t="str">
        <f t="shared" si="5"/>
        <v>Normal</v>
      </c>
      <c r="Y445" s="17">
        <f t="shared" si="6"/>
        <v>1.527525232</v>
      </c>
    </row>
    <row r="446">
      <c r="A446" s="7" t="s">
        <v>1740</v>
      </c>
      <c r="B446" s="8" t="s">
        <v>1741</v>
      </c>
      <c r="C446" s="9" t="s">
        <v>1742</v>
      </c>
      <c r="D446" s="9" t="s">
        <v>62</v>
      </c>
      <c r="E446" s="10" t="s">
        <v>1743</v>
      </c>
      <c r="F446" s="11" t="s">
        <v>110</v>
      </c>
      <c r="G446" s="12" t="s">
        <v>31</v>
      </c>
      <c r="H446" s="12" t="s">
        <v>31</v>
      </c>
      <c r="I446" s="19" t="s">
        <v>31</v>
      </c>
      <c r="J446" s="13" t="s">
        <v>31</v>
      </c>
      <c r="K446" s="14" t="s">
        <v>61</v>
      </c>
      <c r="L446" s="14" t="s">
        <v>33</v>
      </c>
      <c r="M446" s="14" t="s">
        <v>35</v>
      </c>
      <c r="N446" s="15" t="s">
        <v>48</v>
      </c>
      <c r="O446" s="14" t="s">
        <v>42</v>
      </c>
      <c r="P446" s="14" t="s">
        <v>48</v>
      </c>
      <c r="Q446" s="14" t="s">
        <v>105</v>
      </c>
      <c r="R446" s="14" t="s">
        <v>49</v>
      </c>
      <c r="S446" s="14" t="s">
        <v>105</v>
      </c>
      <c r="T446" s="14">
        <f t="shared" si="1"/>
        <v>0</v>
      </c>
      <c r="U446" s="14">
        <f t="shared" si="2"/>
        <v>4</v>
      </c>
      <c r="V446" s="14">
        <f t="shared" si="3"/>
        <v>0</v>
      </c>
      <c r="W446" s="16">
        <f t="shared" si="4"/>
        <v>1</v>
      </c>
      <c r="X446" s="14" t="str">
        <f t="shared" si="5"/>
        <v>Offensive</v>
      </c>
      <c r="Y446" s="17">
        <f t="shared" si="6"/>
        <v>2.309401077</v>
      </c>
    </row>
    <row r="447">
      <c r="A447" s="7" t="s">
        <v>1744</v>
      </c>
      <c r="B447" s="8" t="s">
        <v>1745</v>
      </c>
      <c r="C447" s="9" t="s">
        <v>1746</v>
      </c>
      <c r="D447" s="9" t="s">
        <v>374</v>
      </c>
      <c r="E447" s="24"/>
      <c r="F447" s="18" t="s">
        <v>44</v>
      </c>
      <c r="G447" s="12" t="s">
        <v>45</v>
      </c>
      <c r="H447" s="12" t="s">
        <v>31</v>
      </c>
      <c r="I447" s="19" t="s">
        <v>45</v>
      </c>
      <c r="J447" s="13" t="s">
        <v>45</v>
      </c>
      <c r="K447" s="14" t="s">
        <v>61</v>
      </c>
      <c r="L447" s="14" t="s">
        <v>34</v>
      </c>
      <c r="M447" s="14" t="s">
        <v>47</v>
      </c>
      <c r="N447" s="15" t="s">
        <v>36</v>
      </c>
      <c r="O447" s="14" t="s">
        <v>283</v>
      </c>
      <c r="P447" s="14" t="s">
        <v>49</v>
      </c>
      <c r="Q447" s="14" t="s">
        <v>283</v>
      </c>
      <c r="R447" s="14" t="s">
        <v>49</v>
      </c>
      <c r="S447" s="14" t="s">
        <v>283</v>
      </c>
      <c r="T447" s="14">
        <f t="shared" si="1"/>
        <v>3</v>
      </c>
      <c r="U447" s="14">
        <f t="shared" si="2"/>
        <v>1</v>
      </c>
      <c r="V447" s="14">
        <f t="shared" si="3"/>
        <v>0</v>
      </c>
      <c r="W447" s="16">
        <f t="shared" si="4"/>
        <v>1</v>
      </c>
      <c r="X447" s="14" t="str">
        <f t="shared" si="5"/>
        <v>Normal</v>
      </c>
      <c r="Y447" s="17">
        <f t="shared" si="6"/>
        <v>1.527525232</v>
      </c>
    </row>
    <row r="448">
      <c r="A448" s="7" t="s">
        <v>1747</v>
      </c>
      <c r="B448" s="8" t="s">
        <v>1748</v>
      </c>
      <c r="C448" s="9" t="s">
        <v>1749</v>
      </c>
      <c r="D448" s="9" t="s">
        <v>66</v>
      </c>
      <c r="E448" s="10" t="s">
        <v>114</v>
      </c>
      <c r="F448" s="11" t="s">
        <v>155</v>
      </c>
      <c r="G448" s="12" t="s">
        <v>31</v>
      </c>
      <c r="H448" s="12" t="s">
        <v>31</v>
      </c>
      <c r="I448" s="19" t="s">
        <v>32</v>
      </c>
      <c r="J448" s="13" t="s">
        <v>32</v>
      </c>
      <c r="K448" s="14" t="s">
        <v>61</v>
      </c>
      <c r="L448" s="14" t="s">
        <v>46</v>
      </c>
      <c r="M448" s="14" t="s">
        <v>35</v>
      </c>
      <c r="N448" s="15" t="s">
        <v>36</v>
      </c>
      <c r="O448" s="14" t="s">
        <v>115</v>
      </c>
      <c r="P448" s="14" t="s">
        <v>36</v>
      </c>
      <c r="Q448" s="14" t="s">
        <v>115</v>
      </c>
      <c r="R448" s="14" t="s">
        <v>36</v>
      </c>
      <c r="S448" s="14" t="s">
        <v>115</v>
      </c>
      <c r="T448" s="14">
        <f t="shared" si="1"/>
        <v>0</v>
      </c>
      <c r="U448" s="14">
        <f t="shared" si="2"/>
        <v>2</v>
      </c>
      <c r="V448" s="14">
        <f t="shared" si="3"/>
        <v>2</v>
      </c>
      <c r="W448" s="16">
        <f t="shared" si="4"/>
        <v>1</v>
      </c>
      <c r="X448" s="14" t="b">
        <f t="shared" si="5"/>
        <v>0</v>
      </c>
      <c r="Y448" s="17">
        <f t="shared" si="6"/>
        <v>1.154700538</v>
      </c>
    </row>
    <row r="449">
      <c r="A449" s="7" t="s">
        <v>1750</v>
      </c>
      <c r="B449" s="8" t="s">
        <v>1751</v>
      </c>
      <c r="C449" s="9" t="s">
        <v>1752</v>
      </c>
      <c r="D449" s="9" t="s">
        <v>42</v>
      </c>
      <c r="E449" s="10" t="s">
        <v>62</v>
      </c>
      <c r="F449" s="18" t="s">
        <v>44</v>
      </c>
      <c r="G449" s="12" t="s">
        <v>45</v>
      </c>
      <c r="H449" s="12" t="s">
        <v>45</v>
      </c>
      <c r="I449" s="19" t="s">
        <v>32</v>
      </c>
      <c r="J449" s="13" t="s">
        <v>45</v>
      </c>
      <c r="K449" s="14" t="s">
        <v>61</v>
      </c>
      <c r="L449" s="14" t="s">
        <v>55</v>
      </c>
      <c r="M449" s="14" t="s">
        <v>35</v>
      </c>
      <c r="N449" s="15" t="s">
        <v>36</v>
      </c>
      <c r="O449" s="14" t="s">
        <v>62</v>
      </c>
      <c r="P449" s="14" t="s">
        <v>48</v>
      </c>
      <c r="Q449" s="14" t="s">
        <v>62</v>
      </c>
      <c r="R449" s="14" t="s">
        <v>48</v>
      </c>
      <c r="S449" s="14" t="s">
        <v>42</v>
      </c>
      <c r="T449" s="14">
        <f t="shared" si="1"/>
        <v>3</v>
      </c>
      <c r="U449" s="14">
        <f t="shared" si="2"/>
        <v>0</v>
      </c>
      <c r="V449" s="14">
        <f t="shared" si="3"/>
        <v>1</v>
      </c>
      <c r="W449" s="16">
        <f t="shared" si="4"/>
        <v>1</v>
      </c>
      <c r="X449" s="14" t="str">
        <f t="shared" si="5"/>
        <v>Normal</v>
      </c>
      <c r="Y449" s="17">
        <f t="shared" si="6"/>
        <v>1.527525232</v>
      </c>
    </row>
    <row r="450">
      <c r="A450" s="7" t="s">
        <v>1753</v>
      </c>
      <c r="B450" s="8" t="s">
        <v>1754</v>
      </c>
      <c r="C450" s="9" t="s">
        <v>1755</v>
      </c>
      <c r="D450" s="9" t="s">
        <v>42</v>
      </c>
      <c r="E450" s="10" t="s">
        <v>181</v>
      </c>
      <c r="F450" s="18" t="s">
        <v>44</v>
      </c>
      <c r="G450" s="12" t="s">
        <v>45</v>
      </c>
      <c r="H450" s="12" t="s">
        <v>45</v>
      </c>
      <c r="I450" s="19" t="s">
        <v>45</v>
      </c>
      <c r="J450" s="13" t="s">
        <v>45</v>
      </c>
      <c r="K450" s="14" t="s">
        <v>61</v>
      </c>
      <c r="L450" s="14" t="s">
        <v>33</v>
      </c>
      <c r="M450" s="14" t="s">
        <v>47</v>
      </c>
      <c r="N450" s="15" t="s">
        <v>48</v>
      </c>
      <c r="O450" s="14" t="s">
        <v>42</v>
      </c>
      <c r="P450" s="14" t="s">
        <v>48</v>
      </c>
      <c r="Q450" s="14" t="s">
        <v>42</v>
      </c>
      <c r="R450" s="14" t="s">
        <v>48</v>
      </c>
      <c r="S450" s="14" t="s">
        <v>42</v>
      </c>
      <c r="T450" s="14">
        <f t="shared" si="1"/>
        <v>4</v>
      </c>
      <c r="U450" s="14">
        <f t="shared" si="2"/>
        <v>0</v>
      </c>
      <c r="V450" s="14">
        <f t="shared" si="3"/>
        <v>0</v>
      </c>
      <c r="W450" s="16">
        <f t="shared" si="4"/>
        <v>1</v>
      </c>
      <c r="X450" s="14" t="str">
        <f t="shared" si="5"/>
        <v>Normal</v>
      </c>
      <c r="Y450" s="17">
        <f t="shared" si="6"/>
        <v>2.309401077</v>
      </c>
    </row>
    <row r="451">
      <c r="A451" s="7" t="s">
        <v>1756</v>
      </c>
      <c r="B451" s="8" t="s">
        <v>1757</v>
      </c>
      <c r="C451" s="9" t="s">
        <v>1758</v>
      </c>
      <c r="D451" s="9" t="s">
        <v>42</v>
      </c>
      <c r="E451" s="10" t="s">
        <v>225</v>
      </c>
      <c r="F451" s="18" t="s">
        <v>44</v>
      </c>
      <c r="G451" s="12" t="s">
        <v>45</v>
      </c>
      <c r="H451" s="12" t="s">
        <v>45</v>
      </c>
      <c r="I451" s="19" t="s">
        <v>31</v>
      </c>
      <c r="J451" s="13" t="s">
        <v>45</v>
      </c>
      <c r="K451" s="14" t="s">
        <v>61</v>
      </c>
      <c r="L451" s="14" t="s">
        <v>34</v>
      </c>
      <c r="M451" s="14" t="s">
        <v>47</v>
      </c>
      <c r="N451" s="15" t="s">
        <v>48</v>
      </c>
      <c r="O451" s="14" t="s">
        <v>42</v>
      </c>
      <c r="P451" s="14" t="s">
        <v>48</v>
      </c>
      <c r="Q451" s="14" t="s">
        <v>42</v>
      </c>
      <c r="R451" s="14" t="s">
        <v>48</v>
      </c>
      <c r="S451" s="14" t="s">
        <v>105</v>
      </c>
      <c r="T451" s="14">
        <f t="shared" si="1"/>
        <v>3</v>
      </c>
      <c r="U451" s="14">
        <f t="shared" si="2"/>
        <v>1</v>
      </c>
      <c r="V451" s="14">
        <f t="shared" si="3"/>
        <v>0</v>
      </c>
      <c r="W451" s="16">
        <f t="shared" si="4"/>
        <v>1</v>
      </c>
      <c r="X451" s="14" t="str">
        <f t="shared" si="5"/>
        <v>Normal</v>
      </c>
      <c r="Y451" s="17">
        <f t="shared" si="6"/>
        <v>1.527525232</v>
      </c>
    </row>
    <row r="452">
      <c r="A452" s="7" t="s">
        <v>1759</v>
      </c>
      <c r="B452" s="8" t="s">
        <v>1760</v>
      </c>
      <c r="C452" s="9" t="s">
        <v>1761</v>
      </c>
      <c r="D452" s="9" t="s">
        <v>37</v>
      </c>
      <c r="E452" s="10" t="s">
        <v>54</v>
      </c>
      <c r="F452" s="11" t="s">
        <v>54</v>
      </c>
      <c r="G452" s="12" t="s">
        <v>31</v>
      </c>
      <c r="H452" s="12" t="s">
        <v>31</v>
      </c>
      <c r="I452" s="19" t="s">
        <v>32</v>
      </c>
      <c r="J452" s="13" t="s">
        <v>32</v>
      </c>
      <c r="K452" s="14" t="s">
        <v>61</v>
      </c>
      <c r="L452" s="14" t="s">
        <v>46</v>
      </c>
      <c r="M452" s="14" t="s">
        <v>35</v>
      </c>
      <c r="N452" s="15" t="s">
        <v>49</v>
      </c>
      <c r="O452" s="14" t="s">
        <v>37</v>
      </c>
      <c r="P452" s="14" t="s">
        <v>36</v>
      </c>
      <c r="Q452" s="14" t="s">
        <v>37</v>
      </c>
      <c r="R452" s="14" t="s">
        <v>36</v>
      </c>
      <c r="S452" s="14" t="s">
        <v>1762</v>
      </c>
      <c r="T452" s="14">
        <f t="shared" si="1"/>
        <v>0</v>
      </c>
      <c r="U452" s="14">
        <f t="shared" si="2"/>
        <v>2</v>
      </c>
      <c r="V452" s="14">
        <f t="shared" si="3"/>
        <v>2</v>
      </c>
      <c r="W452" s="16">
        <f t="shared" si="4"/>
        <v>1</v>
      </c>
      <c r="X452" s="14" t="b">
        <f t="shared" si="5"/>
        <v>0</v>
      </c>
      <c r="Y452" s="17">
        <f t="shared" si="6"/>
        <v>1.154700538</v>
      </c>
    </row>
    <row r="453">
      <c r="A453" s="7" t="s">
        <v>1763</v>
      </c>
      <c r="B453" s="8" t="s">
        <v>1764</v>
      </c>
      <c r="C453" s="9" t="s">
        <v>1765</v>
      </c>
      <c r="D453" s="9" t="s">
        <v>66</v>
      </c>
      <c r="E453" s="10" t="s">
        <v>66</v>
      </c>
      <c r="F453" s="18" t="s">
        <v>44</v>
      </c>
      <c r="G453" s="12" t="s">
        <v>45</v>
      </c>
      <c r="H453" s="12" t="s">
        <v>45</v>
      </c>
      <c r="I453" s="19" t="s">
        <v>45</v>
      </c>
      <c r="J453" s="13" t="s">
        <v>45</v>
      </c>
      <c r="K453" s="14" t="s">
        <v>61</v>
      </c>
      <c r="L453" s="14" t="s">
        <v>55</v>
      </c>
      <c r="M453" s="14" t="s">
        <v>35</v>
      </c>
      <c r="N453" s="15" t="s">
        <v>48</v>
      </c>
      <c r="O453" s="14" t="s">
        <v>42</v>
      </c>
      <c r="P453" s="14" t="s">
        <v>48</v>
      </c>
      <c r="Q453" s="14" t="s">
        <v>42</v>
      </c>
      <c r="R453" s="14" t="s">
        <v>48</v>
      </c>
      <c r="S453" s="14" t="s">
        <v>42</v>
      </c>
      <c r="T453" s="14">
        <f t="shared" si="1"/>
        <v>4</v>
      </c>
      <c r="U453" s="14">
        <f t="shared" si="2"/>
        <v>0</v>
      </c>
      <c r="V453" s="14">
        <f t="shared" si="3"/>
        <v>0</v>
      </c>
      <c r="W453" s="16">
        <f t="shared" si="4"/>
        <v>1</v>
      </c>
      <c r="X453" s="14" t="str">
        <f t="shared" si="5"/>
        <v>Normal</v>
      </c>
      <c r="Y453" s="17">
        <f t="shared" si="6"/>
        <v>2.309401077</v>
      </c>
    </row>
    <row r="454">
      <c r="A454" s="7" t="s">
        <v>1766</v>
      </c>
      <c r="B454" s="8" t="s">
        <v>1767</v>
      </c>
      <c r="C454" s="9" t="s">
        <v>1768</v>
      </c>
      <c r="D454" s="9" t="s">
        <v>37</v>
      </c>
      <c r="E454" s="10" t="s">
        <v>181</v>
      </c>
      <c r="F454" s="11" t="s">
        <v>54</v>
      </c>
      <c r="G454" s="12" t="s">
        <v>31</v>
      </c>
      <c r="H454" s="12" t="s">
        <v>45</v>
      </c>
      <c r="I454" s="19" t="s">
        <v>31</v>
      </c>
      <c r="J454" s="13" t="s">
        <v>31</v>
      </c>
      <c r="K454" s="14" t="s">
        <v>61</v>
      </c>
      <c r="L454" s="14" t="s">
        <v>33</v>
      </c>
      <c r="M454" s="14" t="s">
        <v>47</v>
      </c>
      <c r="N454" s="15" t="s">
        <v>48</v>
      </c>
      <c r="O454" s="14" t="s">
        <v>37</v>
      </c>
      <c r="P454" s="14" t="s">
        <v>48</v>
      </c>
      <c r="Q454" s="14" t="s">
        <v>42</v>
      </c>
      <c r="R454" s="14" t="s">
        <v>48</v>
      </c>
      <c r="S454" s="14" t="s">
        <v>42</v>
      </c>
      <c r="T454" s="14">
        <f t="shared" si="1"/>
        <v>1</v>
      </c>
      <c r="U454" s="14">
        <f t="shared" si="2"/>
        <v>3</v>
      </c>
      <c r="V454" s="14">
        <f t="shared" si="3"/>
        <v>0</v>
      </c>
      <c r="W454" s="16">
        <f t="shared" si="4"/>
        <v>1</v>
      </c>
      <c r="X454" s="14" t="str">
        <f t="shared" si="5"/>
        <v>Offensive</v>
      </c>
      <c r="Y454" s="17">
        <f t="shared" si="6"/>
        <v>1.527525232</v>
      </c>
    </row>
    <row r="455">
      <c r="A455" s="7" t="s">
        <v>1769</v>
      </c>
      <c r="B455" s="8" t="s">
        <v>1770</v>
      </c>
      <c r="C455" s="9" t="s">
        <v>1771</v>
      </c>
      <c r="D455" s="9" t="s">
        <v>66</v>
      </c>
      <c r="E455" s="10" t="s">
        <v>66</v>
      </c>
      <c r="F455" s="11" t="s">
        <v>155</v>
      </c>
      <c r="G455" s="12" t="s">
        <v>31</v>
      </c>
      <c r="H455" s="12" t="s">
        <v>31</v>
      </c>
      <c r="I455" s="19" t="s">
        <v>32</v>
      </c>
      <c r="J455" s="13" t="s">
        <v>32</v>
      </c>
      <c r="K455" s="14" t="s">
        <v>61</v>
      </c>
      <c r="L455" s="14" t="s">
        <v>34</v>
      </c>
      <c r="M455" s="14" t="s">
        <v>47</v>
      </c>
      <c r="N455" s="15" t="s">
        <v>36</v>
      </c>
      <c r="O455" s="14" t="s">
        <v>283</v>
      </c>
      <c r="P455" s="14" t="s">
        <v>48</v>
      </c>
      <c r="Q455" s="14" t="s">
        <v>42</v>
      </c>
      <c r="R455" s="14" t="s">
        <v>48</v>
      </c>
      <c r="S455" s="14" t="s">
        <v>42</v>
      </c>
      <c r="T455" s="14">
        <f t="shared" si="1"/>
        <v>0</v>
      </c>
      <c r="U455" s="14">
        <f t="shared" si="2"/>
        <v>2</v>
      </c>
      <c r="V455" s="14">
        <f t="shared" si="3"/>
        <v>2</v>
      </c>
      <c r="W455" s="16">
        <f t="shared" si="4"/>
        <v>1</v>
      </c>
      <c r="X455" s="14" t="b">
        <f t="shared" si="5"/>
        <v>0</v>
      </c>
      <c r="Y455" s="17">
        <f t="shared" si="6"/>
        <v>1.154700538</v>
      </c>
    </row>
    <row r="456">
      <c r="A456" s="7" t="s">
        <v>1772</v>
      </c>
      <c r="B456" s="8" t="s">
        <v>1773</v>
      </c>
      <c r="C456" s="9" t="s">
        <v>1774</v>
      </c>
      <c r="D456" s="9" t="s">
        <v>225</v>
      </c>
      <c r="E456" s="10" t="s">
        <v>43</v>
      </c>
      <c r="F456" s="11" t="s">
        <v>43</v>
      </c>
      <c r="G456" s="12" t="s">
        <v>31</v>
      </c>
      <c r="H456" s="12" t="s">
        <v>31</v>
      </c>
      <c r="I456" s="19" t="s">
        <v>31</v>
      </c>
      <c r="J456" s="13" t="s">
        <v>32</v>
      </c>
      <c r="K456" s="14" t="s">
        <v>61</v>
      </c>
      <c r="L456" s="14" t="s">
        <v>46</v>
      </c>
      <c r="M456" s="14" t="s">
        <v>35</v>
      </c>
      <c r="N456" s="15" t="s">
        <v>49</v>
      </c>
      <c r="O456" s="14" t="s">
        <v>43</v>
      </c>
      <c r="P456" s="14" t="s">
        <v>36</v>
      </c>
      <c r="Q456" s="14" t="s">
        <v>43</v>
      </c>
      <c r="R456" s="14" t="s">
        <v>36</v>
      </c>
      <c r="S456" s="14" t="s">
        <v>43</v>
      </c>
      <c r="T456" s="14">
        <f t="shared" si="1"/>
        <v>0</v>
      </c>
      <c r="U456" s="14">
        <f t="shared" si="2"/>
        <v>3</v>
      </c>
      <c r="V456" s="14">
        <f t="shared" si="3"/>
        <v>1</v>
      </c>
      <c r="W456" s="16">
        <f t="shared" si="4"/>
        <v>1</v>
      </c>
      <c r="X456" s="14" t="str">
        <f t="shared" si="5"/>
        <v>Offensive</v>
      </c>
      <c r="Y456" s="17">
        <f t="shared" si="6"/>
        <v>1.527525232</v>
      </c>
    </row>
    <row r="457">
      <c r="A457" s="7" t="s">
        <v>1775</v>
      </c>
      <c r="B457" s="8" t="s">
        <v>1776</v>
      </c>
      <c r="C457" s="9" t="s">
        <v>1777</v>
      </c>
      <c r="D457" s="9" t="s">
        <v>225</v>
      </c>
      <c r="E457" s="10" t="s">
        <v>225</v>
      </c>
      <c r="F457" s="11" t="s">
        <v>43</v>
      </c>
      <c r="G457" s="12" t="s">
        <v>31</v>
      </c>
      <c r="H457" s="12" t="s">
        <v>31</v>
      </c>
      <c r="I457" s="19" t="s">
        <v>31</v>
      </c>
      <c r="J457" s="13" t="s">
        <v>31</v>
      </c>
      <c r="K457" s="14" t="s">
        <v>61</v>
      </c>
      <c r="L457" s="14" t="s">
        <v>55</v>
      </c>
      <c r="M457" s="14" t="s">
        <v>47</v>
      </c>
      <c r="N457" s="15" t="s">
        <v>49</v>
      </c>
      <c r="O457" s="14" t="s">
        <v>43</v>
      </c>
      <c r="P457" s="14" t="s">
        <v>48</v>
      </c>
      <c r="Q457" s="14" t="s">
        <v>42</v>
      </c>
      <c r="R457" s="14" t="s">
        <v>49</v>
      </c>
      <c r="S457" s="14" t="s">
        <v>43</v>
      </c>
      <c r="T457" s="14">
        <f t="shared" si="1"/>
        <v>0</v>
      </c>
      <c r="U457" s="14">
        <f t="shared" si="2"/>
        <v>4</v>
      </c>
      <c r="V457" s="14">
        <f t="shared" si="3"/>
        <v>0</v>
      </c>
      <c r="W457" s="16">
        <f t="shared" si="4"/>
        <v>1</v>
      </c>
      <c r="X457" s="14" t="str">
        <f t="shared" si="5"/>
        <v>Offensive</v>
      </c>
      <c r="Y457" s="17">
        <f t="shared" si="6"/>
        <v>2.309401077</v>
      </c>
    </row>
    <row r="458">
      <c r="A458" s="7" t="s">
        <v>1778</v>
      </c>
      <c r="B458" s="8" t="s">
        <v>1779</v>
      </c>
      <c r="C458" s="9" t="s">
        <v>1780</v>
      </c>
      <c r="D458" s="9" t="s">
        <v>83</v>
      </c>
      <c r="E458" s="10" t="s">
        <v>181</v>
      </c>
      <c r="F458" s="18" t="s">
        <v>44</v>
      </c>
      <c r="G458" s="12" t="s">
        <v>31</v>
      </c>
      <c r="H458" s="12" t="s">
        <v>45</v>
      </c>
      <c r="I458" s="19" t="s">
        <v>31</v>
      </c>
      <c r="J458" s="13" t="s">
        <v>45</v>
      </c>
      <c r="K458" s="14" t="s">
        <v>61</v>
      </c>
      <c r="L458" s="14" t="s">
        <v>33</v>
      </c>
      <c r="M458" s="14" t="s">
        <v>47</v>
      </c>
      <c r="N458" s="15" t="s">
        <v>49</v>
      </c>
      <c r="O458" s="14" t="s">
        <v>83</v>
      </c>
      <c r="P458" s="14" t="s">
        <v>49</v>
      </c>
      <c r="Q458" s="14" t="s">
        <v>476</v>
      </c>
      <c r="R458" s="14" t="s">
        <v>49</v>
      </c>
      <c r="S458" s="14" t="s">
        <v>476</v>
      </c>
      <c r="T458" s="14">
        <f t="shared" si="1"/>
        <v>2</v>
      </c>
      <c r="U458" s="14">
        <f t="shared" si="2"/>
        <v>2</v>
      </c>
      <c r="V458" s="14">
        <f t="shared" si="3"/>
        <v>0</v>
      </c>
      <c r="W458" s="16">
        <f t="shared" si="4"/>
        <v>1</v>
      </c>
      <c r="X458" s="14" t="b">
        <f t="shared" si="5"/>
        <v>0</v>
      </c>
      <c r="Y458" s="17">
        <f t="shared" si="6"/>
        <v>1.154700538</v>
      </c>
    </row>
    <row r="459">
      <c r="A459" s="7" t="s">
        <v>1781</v>
      </c>
      <c r="B459" s="8" t="s">
        <v>1782</v>
      </c>
      <c r="C459" s="9" t="s">
        <v>1783</v>
      </c>
      <c r="D459" s="9" t="s">
        <v>37</v>
      </c>
      <c r="E459" s="10" t="s">
        <v>53</v>
      </c>
      <c r="F459" s="11" t="s">
        <v>54</v>
      </c>
      <c r="G459" s="12" t="s">
        <v>31</v>
      </c>
      <c r="H459" s="12" t="s">
        <v>31</v>
      </c>
      <c r="I459" s="19" t="s">
        <v>32</v>
      </c>
      <c r="J459" s="13" t="s">
        <v>32</v>
      </c>
      <c r="K459" s="14" t="s">
        <v>61</v>
      </c>
      <c r="L459" s="14" t="s">
        <v>34</v>
      </c>
      <c r="M459" s="14" t="s">
        <v>47</v>
      </c>
      <c r="N459" s="15" t="s">
        <v>36</v>
      </c>
      <c r="O459" s="14" t="s">
        <v>37</v>
      </c>
      <c r="P459" s="14" t="s">
        <v>49</v>
      </c>
      <c r="Q459" s="14" t="s">
        <v>37</v>
      </c>
      <c r="R459" s="14" t="s">
        <v>36</v>
      </c>
      <c r="S459" s="14" t="s">
        <v>37</v>
      </c>
      <c r="T459" s="14">
        <f t="shared" si="1"/>
        <v>0</v>
      </c>
      <c r="U459" s="14">
        <f t="shared" si="2"/>
        <v>2</v>
      </c>
      <c r="V459" s="14">
        <f t="shared" si="3"/>
        <v>2</v>
      </c>
      <c r="W459" s="16">
        <f t="shared" si="4"/>
        <v>1</v>
      </c>
      <c r="X459" s="14" t="b">
        <f t="shared" si="5"/>
        <v>0</v>
      </c>
      <c r="Y459" s="17">
        <f t="shared" si="6"/>
        <v>1.154700538</v>
      </c>
    </row>
    <row r="460">
      <c r="A460" s="7" t="s">
        <v>1784</v>
      </c>
      <c r="B460" s="8" t="s">
        <v>1785</v>
      </c>
      <c r="C460" s="9" t="s">
        <v>1786</v>
      </c>
      <c r="D460" s="9" t="s">
        <v>72</v>
      </c>
      <c r="E460" s="10" t="s">
        <v>73</v>
      </c>
      <c r="F460" s="18" t="s">
        <v>44</v>
      </c>
      <c r="G460" s="12" t="s">
        <v>45</v>
      </c>
      <c r="H460" s="12" t="s">
        <v>31</v>
      </c>
      <c r="I460" s="19" t="s">
        <v>32</v>
      </c>
      <c r="J460" s="13" t="s">
        <v>45</v>
      </c>
      <c r="K460" s="14" t="s">
        <v>61</v>
      </c>
      <c r="L460" s="14" t="s">
        <v>46</v>
      </c>
      <c r="M460" s="14" t="s">
        <v>35</v>
      </c>
      <c r="N460" s="15" t="s">
        <v>48</v>
      </c>
      <c r="O460" s="14" t="s">
        <v>42</v>
      </c>
      <c r="P460" s="14" t="s">
        <v>36</v>
      </c>
      <c r="Q460" s="14" t="s">
        <v>1469</v>
      </c>
      <c r="R460" s="14" t="s">
        <v>36</v>
      </c>
      <c r="S460" s="14" t="s">
        <v>72</v>
      </c>
      <c r="T460" s="14">
        <f t="shared" si="1"/>
        <v>2</v>
      </c>
      <c r="U460" s="14">
        <f t="shared" si="2"/>
        <v>1</v>
      </c>
      <c r="V460" s="14">
        <f t="shared" si="3"/>
        <v>1</v>
      </c>
      <c r="W460" s="16">
        <f t="shared" si="4"/>
        <v>1</v>
      </c>
      <c r="X460" s="14" t="b">
        <f t="shared" si="5"/>
        <v>0</v>
      </c>
      <c r="Y460" s="17">
        <f t="shared" si="6"/>
        <v>0.5773502692</v>
      </c>
    </row>
    <row r="461">
      <c r="A461" s="7" t="s">
        <v>1787</v>
      </c>
      <c r="B461" s="8" t="s">
        <v>1788</v>
      </c>
      <c r="C461" s="9" t="s">
        <v>1789</v>
      </c>
      <c r="D461" s="9" t="s">
        <v>1790</v>
      </c>
      <c r="E461" s="10" t="s">
        <v>1791</v>
      </c>
      <c r="F461" s="11" t="s">
        <v>155</v>
      </c>
      <c r="G461" s="12" t="s">
        <v>31</v>
      </c>
      <c r="H461" s="12" t="s">
        <v>31</v>
      </c>
      <c r="I461" s="19" t="s">
        <v>32</v>
      </c>
      <c r="J461" s="13" t="s">
        <v>32</v>
      </c>
      <c r="K461" s="14" t="s">
        <v>61</v>
      </c>
      <c r="L461" s="14" t="s">
        <v>55</v>
      </c>
      <c r="M461" s="14" t="s">
        <v>35</v>
      </c>
      <c r="N461" s="15" t="s">
        <v>48</v>
      </c>
      <c r="O461" s="14" t="s">
        <v>356</v>
      </c>
      <c r="P461" s="14" t="s">
        <v>48</v>
      </c>
      <c r="Q461" s="14" t="s">
        <v>42</v>
      </c>
      <c r="R461" s="14" t="s">
        <v>49</v>
      </c>
      <c r="S461" s="14" t="s">
        <v>116</v>
      </c>
      <c r="T461" s="14">
        <f t="shared" si="1"/>
        <v>0</v>
      </c>
      <c r="U461" s="14">
        <f t="shared" si="2"/>
        <v>2</v>
      </c>
      <c r="V461" s="14">
        <f t="shared" si="3"/>
        <v>2</v>
      </c>
      <c r="W461" s="16">
        <f t="shared" si="4"/>
        <v>1</v>
      </c>
      <c r="X461" s="14" t="b">
        <f t="shared" si="5"/>
        <v>0</v>
      </c>
      <c r="Y461" s="17">
        <f t="shared" si="6"/>
        <v>1.154700538</v>
      </c>
    </row>
    <row r="462">
      <c r="A462" s="7" t="s">
        <v>1792</v>
      </c>
      <c r="B462" s="8" t="s">
        <v>1793</v>
      </c>
      <c r="C462" s="9" t="s">
        <v>1794</v>
      </c>
      <c r="D462" s="9" t="s">
        <v>1614</v>
      </c>
      <c r="E462" s="10" t="s">
        <v>1795</v>
      </c>
      <c r="F462" s="18" t="s">
        <v>44</v>
      </c>
      <c r="G462" s="12" t="s">
        <v>31</v>
      </c>
      <c r="H462" s="12" t="s">
        <v>162</v>
      </c>
      <c r="I462" s="19" t="s">
        <v>32</v>
      </c>
      <c r="J462" s="13" t="s">
        <v>45</v>
      </c>
      <c r="K462" s="14" t="s">
        <v>61</v>
      </c>
      <c r="L462" s="14" t="s">
        <v>33</v>
      </c>
      <c r="M462" s="14" t="s">
        <v>35</v>
      </c>
      <c r="N462" s="15" t="s">
        <v>49</v>
      </c>
      <c r="O462" s="14" t="s">
        <v>37</v>
      </c>
      <c r="P462" s="14" t="s">
        <v>49</v>
      </c>
      <c r="Q462" s="14" t="s">
        <v>37</v>
      </c>
      <c r="R462" s="14" t="s">
        <v>49</v>
      </c>
      <c r="S462" s="14" t="s">
        <v>1796</v>
      </c>
      <c r="T462" s="14">
        <f t="shared" si="1"/>
        <v>1</v>
      </c>
      <c r="U462" s="14">
        <f t="shared" si="2"/>
        <v>2</v>
      </c>
      <c r="V462" s="14">
        <f t="shared" si="3"/>
        <v>1</v>
      </c>
      <c r="W462" s="16">
        <f t="shared" si="4"/>
        <v>1</v>
      </c>
      <c r="X462" s="14" t="b">
        <f t="shared" si="5"/>
        <v>0</v>
      </c>
      <c r="Y462" s="17">
        <f t="shared" si="6"/>
        <v>0.5773502692</v>
      </c>
    </row>
    <row r="463">
      <c r="A463" s="7" t="s">
        <v>1797</v>
      </c>
      <c r="B463" s="8" t="s">
        <v>1798</v>
      </c>
      <c r="C463" s="9" t="s">
        <v>1799</v>
      </c>
      <c r="D463" s="9" t="s">
        <v>72</v>
      </c>
      <c r="E463" s="10" t="s">
        <v>72</v>
      </c>
      <c r="F463" s="11" t="s">
        <v>73</v>
      </c>
      <c r="G463" s="12" t="s">
        <v>32</v>
      </c>
      <c r="H463" s="12" t="s">
        <v>32</v>
      </c>
      <c r="I463" s="19" t="s">
        <v>32</v>
      </c>
      <c r="J463" s="13" t="s">
        <v>32</v>
      </c>
      <c r="K463" s="14" t="s">
        <v>61</v>
      </c>
      <c r="L463" s="14" t="s">
        <v>34</v>
      </c>
      <c r="M463" s="14" t="s">
        <v>35</v>
      </c>
      <c r="N463" s="15" t="s">
        <v>36</v>
      </c>
      <c r="O463" s="14" t="s">
        <v>72</v>
      </c>
      <c r="P463" s="14" t="s">
        <v>36</v>
      </c>
      <c r="Q463" s="14" t="s">
        <v>72</v>
      </c>
      <c r="R463" s="14" t="s">
        <v>36</v>
      </c>
      <c r="S463" s="14" t="s">
        <v>72</v>
      </c>
      <c r="T463" s="14">
        <f t="shared" si="1"/>
        <v>0</v>
      </c>
      <c r="U463" s="14">
        <f t="shared" si="2"/>
        <v>0</v>
      </c>
      <c r="V463" s="14">
        <f t="shared" si="3"/>
        <v>4</v>
      </c>
      <c r="W463" s="16">
        <f t="shared" si="4"/>
        <v>1</v>
      </c>
      <c r="X463" s="14" t="str">
        <f t="shared" si="5"/>
        <v>Hate Speech</v>
      </c>
      <c r="Y463" s="17">
        <f t="shared" si="6"/>
        <v>2.309401077</v>
      </c>
    </row>
    <row r="464">
      <c r="A464" s="7" t="s">
        <v>1800</v>
      </c>
      <c r="B464" s="8" t="s">
        <v>1801</v>
      </c>
      <c r="C464" s="9" t="s">
        <v>1802</v>
      </c>
      <c r="D464" s="9" t="s">
        <v>42</v>
      </c>
      <c r="E464" s="10" t="s">
        <v>181</v>
      </c>
      <c r="F464" s="18" t="s">
        <v>44</v>
      </c>
      <c r="G464" s="12" t="s">
        <v>45</v>
      </c>
      <c r="H464" s="12" t="s">
        <v>45</v>
      </c>
      <c r="I464" s="19" t="s">
        <v>31</v>
      </c>
      <c r="J464" s="13" t="s">
        <v>45</v>
      </c>
      <c r="K464" s="14" t="s">
        <v>61</v>
      </c>
      <c r="L464" s="14" t="s">
        <v>46</v>
      </c>
      <c r="M464" s="14" t="s">
        <v>47</v>
      </c>
      <c r="N464" s="15" t="s">
        <v>48</v>
      </c>
      <c r="O464" s="14" t="s">
        <v>42</v>
      </c>
      <c r="P464" s="14" t="s">
        <v>48</v>
      </c>
      <c r="Q464" s="14" t="s">
        <v>42</v>
      </c>
      <c r="R464" s="14" t="s">
        <v>48</v>
      </c>
      <c r="S464" s="14" t="s">
        <v>42</v>
      </c>
      <c r="T464" s="14">
        <f t="shared" si="1"/>
        <v>3</v>
      </c>
      <c r="U464" s="14">
        <f t="shared" si="2"/>
        <v>1</v>
      </c>
      <c r="V464" s="14">
        <f t="shared" si="3"/>
        <v>0</v>
      </c>
      <c r="W464" s="16">
        <f t="shared" si="4"/>
        <v>1</v>
      </c>
      <c r="X464" s="14" t="str">
        <f t="shared" si="5"/>
        <v>Normal</v>
      </c>
      <c r="Y464" s="17">
        <f t="shared" si="6"/>
        <v>1.527525232</v>
      </c>
    </row>
    <row r="465">
      <c r="A465" s="7" t="s">
        <v>1803</v>
      </c>
      <c r="B465" s="8" t="s">
        <v>1804</v>
      </c>
      <c r="C465" s="9" t="s">
        <v>1805</v>
      </c>
      <c r="D465" s="9" t="s">
        <v>93</v>
      </c>
      <c r="E465" s="10" t="s">
        <v>892</v>
      </c>
      <c r="F465" s="18" t="s">
        <v>44</v>
      </c>
      <c r="G465" s="12" t="s">
        <v>31</v>
      </c>
      <c r="H465" s="12" t="s">
        <v>32</v>
      </c>
      <c r="I465" s="19" t="s">
        <v>32</v>
      </c>
      <c r="J465" s="13" t="s">
        <v>45</v>
      </c>
      <c r="K465" s="14" t="s">
        <v>61</v>
      </c>
      <c r="L465" s="14" t="s">
        <v>55</v>
      </c>
      <c r="M465" s="14" t="s">
        <v>47</v>
      </c>
      <c r="N465" s="15" t="s">
        <v>48</v>
      </c>
      <c r="O465" s="14" t="s">
        <v>42</v>
      </c>
      <c r="P465" s="14" t="s">
        <v>48</v>
      </c>
      <c r="Q465" s="14" t="s">
        <v>37</v>
      </c>
      <c r="R465" s="14" t="s">
        <v>48</v>
      </c>
      <c r="S465" s="14" t="s">
        <v>42</v>
      </c>
      <c r="T465" s="14">
        <f t="shared" si="1"/>
        <v>1</v>
      </c>
      <c r="U465" s="14">
        <f t="shared" si="2"/>
        <v>1</v>
      </c>
      <c r="V465" s="14">
        <f t="shared" si="3"/>
        <v>2</v>
      </c>
      <c r="W465" s="16">
        <f t="shared" si="4"/>
        <v>1</v>
      </c>
      <c r="X465" s="14" t="b">
        <f t="shared" si="5"/>
        <v>0</v>
      </c>
      <c r="Y465" s="17">
        <f t="shared" si="6"/>
        <v>0.5773502692</v>
      </c>
    </row>
    <row r="466">
      <c r="A466" s="7" t="s">
        <v>1806</v>
      </c>
      <c r="B466" s="8" t="s">
        <v>1807</v>
      </c>
      <c r="C466" s="9" t="s">
        <v>1808</v>
      </c>
      <c r="D466" s="9" t="s">
        <v>225</v>
      </c>
      <c r="E466" s="10" t="s">
        <v>1809</v>
      </c>
      <c r="F466" s="11" t="s">
        <v>43</v>
      </c>
      <c r="G466" s="12" t="s">
        <v>31</v>
      </c>
      <c r="H466" s="12" t="s">
        <v>31</v>
      </c>
      <c r="I466" s="19" t="s">
        <v>31</v>
      </c>
      <c r="J466" s="13" t="s">
        <v>31</v>
      </c>
      <c r="K466" s="14" t="s">
        <v>61</v>
      </c>
      <c r="L466" s="14" t="s">
        <v>33</v>
      </c>
      <c r="M466" s="14" t="s">
        <v>47</v>
      </c>
      <c r="N466" s="15" t="s">
        <v>49</v>
      </c>
      <c r="O466" s="14" t="s">
        <v>43</v>
      </c>
      <c r="P466" s="14" t="s">
        <v>48</v>
      </c>
      <c r="Q466" s="14" t="s">
        <v>42</v>
      </c>
      <c r="R466" s="14" t="s">
        <v>48</v>
      </c>
      <c r="S466" s="14" t="s">
        <v>42</v>
      </c>
      <c r="T466" s="14">
        <f t="shared" si="1"/>
        <v>0</v>
      </c>
      <c r="U466" s="14">
        <f t="shared" si="2"/>
        <v>4</v>
      </c>
      <c r="V466" s="14">
        <f t="shared" si="3"/>
        <v>0</v>
      </c>
      <c r="W466" s="16">
        <f t="shared" si="4"/>
        <v>1</v>
      </c>
      <c r="X466" s="14" t="str">
        <f t="shared" si="5"/>
        <v>Offensive</v>
      </c>
      <c r="Y466" s="17">
        <f t="shared" si="6"/>
        <v>2.309401077</v>
      </c>
    </row>
    <row r="467">
      <c r="A467" s="7" t="s">
        <v>1810</v>
      </c>
      <c r="B467" s="8" t="s">
        <v>1811</v>
      </c>
      <c r="C467" s="9" t="s">
        <v>1812</v>
      </c>
      <c r="D467" s="9" t="s">
        <v>374</v>
      </c>
      <c r="E467" s="10" t="s">
        <v>374</v>
      </c>
      <c r="F467" s="18" t="s">
        <v>44</v>
      </c>
      <c r="G467" s="12" t="s">
        <v>45</v>
      </c>
      <c r="H467" s="12" t="s">
        <v>31</v>
      </c>
      <c r="I467" s="19" t="s">
        <v>31</v>
      </c>
      <c r="J467" s="13" t="s">
        <v>45</v>
      </c>
      <c r="K467" s="14" t="s">
        <v>61</v>
      </c>
      <c r="L467" s="14" t="s">
        <v>34</v>
      </c>
      <c r="M467" s="14" t="s">
        <v>47</v>
      </c>
      <c r="N467" s="15" t="s">
        <v>48</v>
      </c>
      <c r="O467" s="14" t="s">
        <v>42</v>
      </c>
      <c r="P467" s="14" t="s">
        <v>48</v>
      </c>
      <c r="Q467" s="14" t="s">
        <v>42</v>
      </c>
      <c r="R467" s="14" t="s">
        <v>48</v>
      </c>
      <c r="S467" s="14" t="s">
        <v>42</v>
      </c>
      <c r="T467" s="14">
        <f t="shared" si="1"/>
        <v>2</v>
      </c>
      <c r="U467" s="14">
        <f t="shared" si="2"/>
        <v>2</v>
      </c>
      <c r="V467" s="14">
        <f t="shared" si="3"/>
        <v>0</v>
      </c>
      <c r="W467" s="16">
        <f t="shared" si="4"/>
        <v>1</v>
      </c>
      <c r="X467" s="14" t="b">
        <f t="shared" si="5"/>
        <v>0</v>
      </c>
      <c r="Y467" s="17">
        <f t="shared" si="6"/>
        <v>1.154700538</v>
      </c>
    </row>
    <row r="468">
      <c r="A468" s="7" t="s">
        <v>1813</v>
      </c>
      <c r="B468" s="8" t="s">
        <v>1814</v>
      </c>
      <c r="C468" s="9" t="s">
        <v>1815</v>
      </c>
      <c r="D468" s="9" t="s">
        <v>543</v>
      </c>
      <c r="E468" s="10" t="s">
        <v>181</v>
      </c>
      <c r="F468" s="18" t="s">
        <v>44</v>
      </c>
      <c r="G468" s="12" t="s">
        <v>45</v>
      </c>
      <c r="H468" s="12" t="s">
        <v>31</v>
      </c>
      <c r="I468" s="19" t="s">
        <v>31</v>
      </c>
      <c r="J468" s="13" t="s">
        <v>45</v>
      </c>
      <c r="K468" s="14" t="s">
        <v>61</v>
      </c>
      <c r="L468" s="14" t="s">
        <v>46</v>
      </c>
      <c r="M468" s="14" t="s">
        <v>47</v>
      </c>
      <c r="N468" s="15" t="s">
        <v>49</v>
      </c>
      <c r="O468" s="14" t="s">
        <v>42</v>
      </c>
      <c r="P468" s="14" t="s">
        <v>48</v>
      </c>
      <c r="Q468" s="14" t="s">
        <v>42</v>
      </c>
      <c r="R468" s="14" t="s">
        <v>49</v>
      </c>
      <c r="S468" s="14" t="s">
        <v>43</v>
      </c>
      <c r="T468" s="14">
        <f t="shared" si="1"/>
        <v>2</v>
      </c>
      <c r="U468" s="14">
        <f t="shared" si="2"/>
        <v>2</v>
      </c>
      <c r="V468" s="14">
        <f t="shared" si="3"/>
        <v>0</v>
      </c>
      <c r="W468" s="16">
        <f t="shared" si="4"/>
        <v>1</v>
      </c>
      <c r="X468" s="14" t="b">
        <f t="shared" si="5"/>
        <v>0</v>
      </c>
      <c r="Y468" s="17">
        <f t="shared" si="6"/>
        <v>1.154700538</v>
      </c>
    </row>
    <row r="469">
      <c r="A469" s="7" t="s">
        <v>1816</v>
      </c>
      <c r="B469" s="8" t="s">
        <v>1817</v>
      </c>
      <c r="C469" s="9" t="s">
        <v>1818</v>
      </c>
      <c r="D469" s="9" t="s">
        <v>42</v>
      </c>
      <c r="E469" s="10" t="s">
        <v>1819</v>
      </c>
      <c r="F469" s="18" t="s">
        <v>44</v>
      </c>
      <c r="G469" s="12" t="s">
        <v>45</v>
      </c>
      <c r="H469" s="12" t="s">
        <v>31</v>
      </c>
      <c r="I469" s="19" t="s">
        <v>32</v>
      </c>
      <c r="J469" s="13" t="s">
        <v>45</v>
      </c>
      <c r="K469" s="14" t="s">
        <v>61</v>
      </c>
      <c r="L469" s="14" t="s">
        <v>55</v>
      </c>
      <c r="M469" s="14" t="s">
        <v>35</v>
      </c>
      <c r="N469" s="15" t="s">
        <v>49</v>
      </c>
      <c r="O469" s="14" t="s">
        <v>72</v>
      </c>
      <c r="P469" s="14" t="s">
        <v>36</v>
      </c>
      <c r="Q469" s="14" t="s">
        <v>1820</v>
      </c>
      <c r="R469" s="14" t="s">
        <v>49</v>
      </c>
      <c r="S469" s="14" t="s">
        <v>72</v>
      </c>
      <c r="T469" s="14">
        <f t="shared" si="1"/>
        <v>2</v>
      </c>
      <c r="U469" s="14">
        <f t="shared" si="2"/>
        <v>1</v>
      </c>
      <c r="V469" s="14">
        <f t="shared" si="3"/>
        <v>1</v>
      </c>
      <c r="W469" s="16">
        <f t="shared" si="4"/>
        <v>1</v>
      </c>
      <c r="X469" s="14" t="b">
        <f t="shared" si="5"/>
        <v>0</v>
      </c>
      <c r="Y469" s="17">
        <f t="shared" si="6"/>
        <v>0.5773502692</v>
      </c>
    </row>
    <row r="470">
      <c r="A470" s="7" t="s">
        <v>1821</v>
      </c>
      <c r="B470" s="8" t="s">
        <v>1822</v>
      </c>
      <c r="C470" s="9" t="s">
        <v>1823</v>
      </c>
      <c r="D470" s="9" t="s">
        <v>1614</v>
      </c>
      <c r="E470" s="10" t="s">
        <v>1395</v>
      </c>
      <c r="F470" s="18" t="s">
        <v>44</v>
      </c>
      <c r="G470" s="12" t="s">
        <v>31</v>
      </c>
      <c r="H470" s="12" t="s">
        <v>31</v>
      </c>
      <c r="I470" s="19" t="s">
        <v>31</v>
      </c>
      <c r="J470" s="13" t="s">
        <v>45</v>
      </c>
      <c r="K470" s="14" t="s">
        <v>61</v>
      </c>
      <c r="L470" s="14" t="s">
        <v>33</v>
      </c>
      <c r="M470" s="14" t="s">
        <v>47</v>
      </c>
      <c r="N470" s="15" t="s">
        <v>48</v>
      </c>
      <c r="O470" s="14" t="s">
        <v>42</v>
      </c>
      <c r="P470" s="14" t="s">
        <v>49</v>
      </c>
      <c r="Q470" s="14" t="s">
        <v>838</v>
      </c>
      <c r="R470" s="14" t="s">
        <v>49</v>
      </c>
      <c r="S470" s="14" t="s">
        <v>508</v>
      </c>
      <c r="T470" s="14">
        <f t="shared" si="1"/>
        <v>1</v>
      </c>
      <c r="U470" s="14">
        <f t="shared" si="2"/>
        <v>3</v>
      </c>
      <c r="V470" s="14">
        <f t="shared" si="3"/>
        <v>0</v>
      </c>
      <c r="W470" s="16">
        <f t="shared" si="4"/>
        <v>1</v>
      </c>
      <c r="X470" s="14" t="str">
        <f t="shared" si="5"/>
        <v>Offensive</v>
      </c>
      <c r="Y470" s="17">
        <f t="shared" si="6"/>
        <v>1.527525232</v>
      </c>
    </row>
    <row r="471">
      <c r="A471" s="7" t="s">
        <v>1824</v>
      </c>
      <c r="B471" s="8" t="s">
        <v>1825</v>
      </c>
      <c r="C471" s="9" t="s">
        <v>1826</v>
      </c>
      <c r="D471" s="9" t="s">
        <v>77</v>
      </c>
      <c r="E471" s="10" t="s">
        <v>78</v>
      </c>
      <c r="F471" s="18" t="s">
        <v>44</v>
      </c>
      <c r="G471" s="12" t="s">
        <v>31</v>
      </c>
      <c r="H471" s="12" t="s">
        <v>31</v>
      </c>
      <c r="I471" s="19" t="s">
        <v>31</v>
      </c>
      <c r="J471" s="13" t="s">
        <v>45</v>
      </c>
      <c r="K471" s="14" t="s">
        <v>61</v>
      </c>
      <c r="L471" s="14" t="s">
        <v>34</v>
      </c>
      <c r="M471" s="14" t="s">
        <v>35</v>
      </c>
      <c r="N471" s="15" t="s">
        <v>49</v>
      </c>
      <c r="O471" s="14" t="s">
        <v>77</v>
      </c>
      <c r="P471" s="14" t="s">
        <v>36</v>
      </c>
      <c r="Q471" s="14" t="s">
        <v>77</v>
      </c>
      <c r="R471" s="14" t="s">
        <v>36</v>
      </c>
      <c r="S471" s="14" t="s">
        <v>77</v>
      </c>
      <c r="T471" s="14">
        <f t="shared" si="1"/>
        <v>1</v>
      </c>
      <c r="U471" s="14">
        <f t="shared" si="2"/>
        <v>3</v>
      </c>
      <c r="V471" s="14">
        <f t="shared" si="3"/>
        <v>0</v>
      </c>
      <c r="W471" s="16">
        <f t="shared" si="4"/>
        <v>1</v>
      </c>
      <c r="X471" s="14" t="str">
        <f t="shared" si="5"/>
        <v>Offensive</v>
      </c>
      <c r="Y471" s="17">
        <f t="shared" si="6"/>
        <v>1.527525232</v>
      </c>
    </row>
    <row r="472">
      <c r="A472" s="7" t="s">
        <v>1827</v>
      </c>
      <c r="B472" s="8" t="s">
        <v>1828</v>
      </c>
      <c r="C472" s="9" t="s">
        <v>1829</v>
      </c>
      <c r="D472" s="9" t="s">
        <v>83</v>
      </c>
      <c r="E472" s="10" t="s">
        <v>121</v>
      </c>
      <c r="F472" s="11" t="s">
        <v>121</v>
      </c>
      <c r="G472" s="12" t="s">
        <v>31</v>
      </c>
      <c r="H472" s="12" t="s">
        <v>31</v>
      </c>
      <c r="I472" s="19" t="s">
        <v>31</v>
      </c>
      <c r="J472" s="13" t="s">
        <v>32</v>
      </c>
      <c r="K472" s="14" t="s">
        <v>61</v>
      </c>
      <c r="L472" s="14" t="s">
        <v>46</v>
      </c>
      <c r="M472" s="14" t="s">
        <v>35</v>
      </c>
      <c r="N472" s="15" t="s">
        <v>48</v>
      </c>
      <c r="O472" s="14" t="s">
        <v>42</v>
      </c>
      <c r="P472" s="14" t="s">
        <v>36</v>
      </c>
      <c r="Q472" s="14" t="s">
        <v>83</v>
      </c>
      <c r="R472" s="14" t="s">
        <v>49</v>
      </c>
      <c r="S472" s="14" t="s">
        <v>1567</v>
      </c>
      <c r="T472" s="14">
        <f t="shared" si="1"/>
        <v>0</v>
      </c>
      <c r="U472" s="14">
        <f t="shared" si="2"/>
        <v>3</v>
      </c>
      <c r="V472" s="14">
        <f t="shared" si="3"/>
        <v>1</v>
      </c>
      <c r="W472" s="16">
        <f t="shared" si="4"/>
        <v>1</v>
      </c>
      <c r="X472" s="14" t="str">
        <f t="shared" si="5"/>
        <v>Offensive</v>
      </c>
      <c r="Y472" s="17">
        <f t="shared" si="6"/>
        <v>1.527525232</v>
      </c>
    </row>
    <row r="473">
      <c r="A473" s="7" t="s">
        <v>1830</v>
      </c>
      <c r="B473" s="8" t="s">
        <v>1831</v>
      </c>
      <c r="C473" s="9" t="s">
        <v>1832</v>
      </c>
      <c r="D473" s="9" t="s">
        <v>225</v>
      </c>
      <c r="E473" s="10" t="s">
        <v>225</v>
      </c>
      <c r="F473" s="11" t="s">
        <v>43</v>
      </c>
      <c r="G473" s="12" t="s">
        <v>31</v>
      </c>
      <c r="H473" s="12" t="s">
        <v>45</v>
      </c>
      <c r="I473" s="19" t="s">
        <v>31</v>
      </c>
      <c r="J473" s="13" t="s">
        <v>31</v>
      </c>
      <c r="K473" s="14" t="s">
        <v>61</v>
      </c>
      <c r="L473" s="14" t="s">
        <v>55</v>
      </c>
      <c r="M473" s="14" t="s">
        <v>47</v>
      </c>
      <c r="N473" s="15" t="s">
        <v>48</v>
      </c>
      <c r="O473" s="14" t="s">
        <v>42</v>
      </c>
      <c r="P473" s="14" t="s">
        <v>49</v>
      </c>
      <c r="Q473" s="14" t="s">
        <v>43</v>
      </c>
      <c r="R473" s="14" t="s">
        <v>49</v>
      </c>
      <c r="S473" s="14" t="s">
        <v>43</v>
      </c>
      <c r="T473" s="14">
        <f t="shared" si="1"/>
        <v>1</v>
      </c>
      <c r="U473" s="14">
        <f t="shared" si="2"/>
        <v>3</v>
      </c>
      <c r="V473" s="14">
        <f t="shared" si="3"/>
        <v>0</v>
      </c>
      <c r="W473" s="16">
        <f t="shared" si="4"/>
        <v>1</v>
      </c>
      <c r="X473" s="14" t="str">
        <f t="shared" si="5"/>
        <v>Offensive</v>
      </c>
      <c r="Y473" s="17">
        <f t="shared" si="6"/>
        <v>1.527525232</v>
      </c>
    </row>
    <row r="474">
      <c r="A474" s="7" t="s">
        <v>1833</v>
      </c>
      <c r="B474" s="8" t="s">
        <v>1834</v>
      </c>
      <c r="C474" s="9" t="s">
        <v>1835</v>
      </c>
      <c r="D474" s="9" t="s">
        <v>440</v>
      </c>
      <c r="E474" s="10" t="s">
        <v>114</v>
      </c>
      <c r="F474" s="11" t="s">
        <v>155</v>
      </c>
      <c r="G474" s="12" t="s">
        <v>31</v>
      </c>
      <c r="H474" s="12" t="s">
        <v>31</v>
      </c>
      <c r="I474" s="19" t="s">
        <v>32</v>
      </c>
      <c r="J474" s="13" t="s">
        <v>32</v>
      </c>
      <c r="K474" s="14" t="s">
        <v>61</v>
      </c>
      <c r="L474" s="14" t="s">
        <v>33</v>
      </c>
      <c r="M474" s="14" t="s">
        <v>47</v>
      </c>
      <c r="N474" s="15" t="s">
        <v>48</v>
      </c>
      <c r="O474" s="14" t="s">
        <v>42</v>
      </c>
      <c r="P474" s="14" t="s">
        <v>36</v>
      </c>
      <c r="Q474" s="14" t="s">
        <v>115</v>
      </c>
      <c r="R474" s="14" t="s">
        <v>36</v>
      </c>
      <c r="S474" s="14" t="s">
        <v>115</v>
      </c>
      <c r="T474" s="14">
        <f t="shared" si="1"/>
        <v>0</v>
      </c>
      <c r="U474" s="14">
        <f t="shared" si="2"/>
        <v>2</v>
      </c>
      <c r="V474" s="14">
        <f t="shared" si="3"/>
        <v>2</v>
      </c>
      <c r="W474" s="16">
        <f t="shared" si="4"/>
        <v>1</v>
      </c>
      <c r="X474" s="14" t="b">
        <f t="shared" si="5"/>
        <v>0</v>
      </c>
      <c r="Y474" s="17">
        <f t="shared" si="6"/>
        <v>1.154700538</v>
      </c>
    </row>
    <row r="475">
      <c r="A475" s="7" t="s">
        <v>1836</v>
      </c>
      <c r="B475" s="8" t="s">
        <v>1837</v>
      </c>
      <c r="C475" s="9" t="s">
        <v>1838</v>
      </c>
      <c r="D475" s="9" t="s">
        <v>42</v>
      </c>
      <c r="E475" s="10" t="s">
        <v>53</v>
      </c>
      <c r="F475" s="11" t="s">
        <v>54</v>
      </c>
      <c r="G475" s="12" t="s">
        <v>45</v>
      </c>
      <c r="H475" s="12" t="s">
        <v>45</v>
      </c>
      <c r="I475" s="19" t="s">
        <v>31</v>
      </c>
      <c r="J475" s="13" t="s">
        <v>31</v>
      </c>
      <c r="K475" s="14" t="s">
        <v>61</v>
      </c>
      <c r="L475" s="14" t="s">
        <v>34</v>
      </c>
      <c r="M475" s="14" t="s">
        <v>35</v>
      </c>
      <c r="N475" s="15" t="s">
        <v>49</v>
      </c>
      <c r="O475" s="14" t="s">
        <v>37</v>
      </c>
      <c r="P475" s="14" t="s">
        <v>49</v>
      </c>
      <c r="Q475" s="14" t="s">
        <v>37</v>
      </c>
      <c r="R475" s="14" t="s">
        <v>36</v>
      </c>
      <c r="S475" s="14" t="s">
        <v>37</v>
      </c>
      <c r="T475" s="14">
        <f t="shared" si="1"/>
        <v>2</v>
      </c>
      <c r="U475" s="14">
        <f t="shared" si="2"/>
        <v>2</v>
      </c>
      <c r="V475" s="14">
        <f t="shared" si="3"/>
        <v>0</v>
      </c>
      <c r="W475" s="16">
        <f t="shared" si="4"/>
        <v>1</v>
      </c>
      <c r="X475" s="14" t="b">
        <f t="shared" si="5"/>
        <v>0</v>
      </c>
      <c r="Y475" s="17">
        <f t="shared" si="6"/>
        <v>1.154700538</v>
      </c>
    </row>
    <row r="476">
      <c r="A476" s="7" t="s">
        <v>1839</v>
      </c>
      <c r="B476" s="8" t="s">
        <v>1840</v>
      </c>
      <c r="C476" s="9" t="s">
        <v>1841</v>
      </c>
      <c r="D476" s="9" t="s">
        <v>1842</v>
      </c>
      <c r="E476" s="10" t="s">
        <v>766</v>
      </c>
      <c r="F476" s="18" t="s">
        <v>44</v>
      </c>
      <c r="G476" s="12" t="s">
        <v>31</v>
      </c>
      <c r="H476" s="12" t="s">
        <v>31</v>
      </c>
      <c r="I476" s="19" t="s">
        <v>31</v>
      </c>
      <c r="J476" s="13" t="s">
        <v>45</v>
      </c>
      <c r="K476" s="14" t="s">
        <v>61</v>
      </c>
      <c r="L476" s="14" t="s">
        <v>46</v>
      </c>
      <c r="M476" s="14" t="s">
        <v>35</v>
      </c>
      <c r="N476" s="15" t="s">
        <v>36</v>
      </c>
      <c r="O476" s="14" t="s">
        <v>1843</v>
      </c>
      <c r="P476" s="14" t="s">
        <v>36</v>
      </c>
      <c r="Q476" s="14" t="s">
        <v>37</v>
      </c>
      <c r="R476" s="14" t="s">
        <v>36</v>
      </c>
      <c r="S476" s="14" t="s">
        <v>37</v>
      </c>
      <c r="T476" s="14">
        <f t="shared" si="1"/>
        <v>1</v>
      </c>
      <c r="U476" s="14">
        <f t="shared" si="2"/>
        <v>3</v>
      </c>
      <c r="V476" s="14">
        <f t="shared" si="3"/>
        <v>0</v>
      </c>
      <c r="W476" s="16">
        <f t="shared" si="4"/>
        <v>1</v>
      </c>
      <c r="X476" s="14" t="str">
        <f t="shared" si="5"/>
        <v>Offensive</v>
      </c>
      <c r="Y476" s="17">
        <f t="shared" si="6"/>
        <v>1.527525232</v>
      </c>
    </row>
    <row r="477">
      <c r="A477" s="7" t="s">
        <v>1844</v>
      </c>
      <c r="B477" s="8" t="s">
        <v>1845</v>
      </c>
      <c r="C477" s="9" t="s">
        <v>1846</v>
      </c>
      <c r="D477" s="9" t="s">
        <v>225</v>
      </c>
      <c r="E477" s="10" t="s">
        <v>292</v>
      </c>
      <c r="F477" s="18" t="s">
        <v>44</v>
      </c>
      <c r="G477" s="12" t="s">
        <v>31</v>
      </c>
      <c r="H477" s="12" t="s">
        <v>45</v>
      </c>
      <c r="I477" s="19" t="s">
        <v>31</v>
      </c>
      <c r="J477" s="13" t="s">
        <v>45</v>
      </c>
      <c r="K477" s="14" t="s">
        <v>61</v>
      </c>
      <c r="L477" s="14" t="s">
        <v>55</v>
      </c>
      <c r="M477" s="14" t="s">
        <v>47</v>
      </c>
      <c r="N477" s="15" t="s">
        <v>49</v>
      </c>
      <c r="O477" s="14" t="s">
        <v>62</v>
      </c>
      <c r="P477" s="14" t="s">
        <v>49</v>
      </c>
      <c r="Q477" s="14" t="s">
        <v>294</v>
      </c>
      <c r="R477" s="14" t="s">
        <v>49</v>
      </c>
      <c r="S477" s="14" t="s">
        <v>293</v>
      </c>
      <c r="T477" s="14">
        <f t="shared" si="1"/>
        <v>2</v>
      </c>
      <c r="U477" s="14">
        <f t="shared" si="2"/>
        <v>2</v>
      </c>
      <c r="V477" s="14">
        <f t="shared" si="3"/>
        <v>0</v>
      </c>
      <c r="W477" s="16">
        <f t="shared" si="4"/>
        <v>1</v>
      </c>
      <c r="X477" s="14" t="b">
        <f t="shared" si="5"/>
        <v>0</v>
      </c>
      <c r="Y477" s="17">
        <f t="shared" si="6"/>
        <v>1.154700538</v>
      </c>
    </row>
    <row r="478">
      <c r="A478" s="7" t="s">
        <v>1847</v>
      </c>
      <c r="B478" s="8" t="s">
        <v>1848</v>
      </c>
      <c r="C478" s="9" t="s">
        <v>1849</v>
      </c>
      <c r="D478" s="9" t="s">
        <v>42</v>
      </c>
      <c r="E478" s="10" t="s">
        <v>181</v>
      </c>
      <c r="F478" s="18" t="s">
        <v>44</v>
      </c>
      <c r="G478" s="12" t="s">
        <v>45</v>
      </c>
      <c r="H478" s="12" t="s">
        <v>45</v>
      </c>
      <c r="I478" s="19" t="s">
        <v>45</v>
      </c>
      <c r="J478" s="13" t="s">
        <v>45</v>
      </c>
      <c r="K478" s="14" t="s">
        <v>61</v>
      </c>
      <c r="L478" s="14" t="s">
        <v>33</v>
      </c>
      <c r="M478" s="14" t="s">
        <v>47</v>
      </c>
      <c r="N478" s="15" t="s">
        <v>48</v>
      </c>
      <c r="O478" s="14" t="s">
        <v>42</v>
      </c>
      <c r="P478" s="14" t="s">
        <v>48</v>
      </c>
      <c r="Q478" s="14" t="s">
        <v>42</v>
      </c>
      <c r="R478" s="14" t="s">
        <v>48</v>
      </c>
      <c r="S478" s="14" t="s">
        <v>42</v>
      </c>
      <c r="T478" s="14">
        <f t="shared" si="1"/>
        <v>4</v>
      </c>
      <c r="U478" s="14">
        <f t="shared" si="2"/>
        <v>0</v>
      </c>
      <c r="V478" s="14">
        <f t="shared" si="3"/>
        <v>0</v>
      </c>
      <c r="W478" s="16">
        <f t="shared" si="4"/>
        <v>1</v>
      </c>
      <c r="X478" s="14" t="str">
        <f t="shared" si="5"/>
        <v>Normal</v>
      </c>
      <c r="Y478" s="17">
        <f t="shared" si="6"/>
        <v>2.309401077</v>
      </c>
    </row>
    <row r="479">
      <c r="A479" s="7" t="s">
        <v>1850</v>
      </c>
      <c r="B479" s="8" t="s">
        <v>1851</v>
      </c>
      <c r="C479" s="9" t="s">
        <v>1852</v>
      </c>
      <c r="D479" s="9" t="s">
        <v>1853</v>
      </c>
      <c r="E479" s="10" t="s">
        <v>53</v>
      </c>
      <c r="F479" s="11" t="s">
        <v>54</v>
      </c>
      <c r="G479" s="12" t="s">
        <v>31</v>
      </c>
      <c r="H479" s="12" t="s">
        <v>31</v>
      </c>
      <c r="I479" s="19" t="s">
        <v>32</v>
      </c>
      <c r="J479" s="13" t="s">
        <v>32</v>
      </c>
      <c r="K479" s="14" t="s">
        <v>61</v>
      </c>
      <c r="L479" s="14" t="s">
        <v>34</v>
      </c>
      <c r="M479" s="14" t="s">
        <v>35</v>
      </c>
      <c r="N479" s="15" t="s">
        <v>36</v>
      </c>
      <c r="O479" s="14" t="s">
        <v>37</v>
      </c>
      <c r="P479" s="14" t="s">
        <v>36</v>
      </c>
      <c r="Q479" s="14" t="s">
        <v>1853</v>
      </c>
      <c r="R479" s="14" t="s">
        <v>36</v>
      </c>
      <c r="S479" s="14" t="s">
        <v>1854</v>
      </c>
      <c r="T479" s="14">
        <f t="shared" si="1"/>
        <v>0</v>
      </c>
      <c r="U479" s="14">
        <f t="shared" si="2"/>
        <v>2</v>
      </c>
      <c r="V479" s="14">
        <f t="shared" si="3"/>
        <v>2</v>
      </c>
      <c r="W479" s="16">
        <f t="shared" si="4"/>
        <v>1</v>
      </c>
      <c r="X479" s="14" t="b">
        <f t="shared" si="5"/>
        <v>0</v>
      </c>
      <c r="Y479" s="17">
        <f t="shared" si="6"/>
        <v>1.154700538</v>
      </c>
    </row>
    <row r="480">
      <c r="A480" s="7" t="s">
        <v>1855</v>
      </c>
      <c r="B480" s="8" t="s">
        <v>1856</v>
      </c>
      <c r="C480" s="9" t="s">
        <v>1857</v>
      </c>
      <c r="D480" s="9" t="s">
        <v>42</v>
      </c>
      <c r="E480" s="10" t="s">
        <v>181</v>
      </c>
      <c r="F480" s="18" t="s">
        <v>44</v>
      </c>
      <c r="G480" s="12" t="s">
        <v>45</v>
      </c>
      <c r="H480" s="12" t="s">
        <v>45</v>
      </c>
      <c r="I480" s="19" t="s">
        <v>31</v>
      </c>
      <c r="J480" s="13" t="s">
        <v>45</v>
      </c>
      <c r="K480" s="14" t="s">
        <v>61</v>
      </c>
      <c r="L480" s="14" t="s">
        <v>46</v>
      </c>
      <c r="M480" s="14" t="s">
        <v>47</v>
      </c>
      <c r="N480" s="15" t="s">
        <v>48</v>
      </c>
      <c r="O480" s="14" t="s">
        <v>42</v>
      </c>
      <c r="P480" s="14" t="s">
        <v>48</v>
      </c>
      <c r="Q480" s="14" t="s">
        <v>42</v>
      </c>
      <c r="R480" s="14" t="s">
        <v>48</v>
      </c>
      <c r="S480" s="14" t="s">
        <v>42</v>
      </c>
      <c r="T480" s="14">
        <f t="shared" si="1"/>
        <v>3</v>
      </c>
      <c r="U480" s="14">
        <f t="shared" si="2"/>
        <v>1</v>
      </c>
      <c r="V480" s="14">
        <f t="shared" si="3"/>
        <v>0</v>
      </c>
      <c r="W480" s="16">
        <f t="shared" si="4"/>
        <v>1</v>
      </c>
      <c r="X480" s="14" t="str">
        <f t="shared" si="5"/>
        <v>Normal</v>
      </c>
      <c r="Y480" s="17">
        <f t="shared" si="6"/>
        <v>1.527525232</v>
      </c>
    </row>
    <row r="481">
      <c r="A481" s="7" t="s">
        <v>1858</v>
      </c>
      <c r="B481" s="8" t="s">
        <v>1859</v>
      </c>
      <c r="C481" s="9" t="s">
        <v>1860</v>
      </c>
      <c r="D481" s="9" t="s">
        <v>83</v>
      </c>
      <c r="E481" s="10" t="s">
        <v>83</v>
      </c>
      <c r="F481" s="11" t="s">
        <v>121</v>
      </c>
      <c r="G481" s="12" t="s">
        <v>31</v>
      </c>
      <c r="H481" s="12" t="s">
        <v>31</v>
      </c>
      <c r="I481" s="19" t="s">
        <v>31</v>
      </c>
      <c r="J481" s="13" t="s">
        <v>31</v>
      </c>
      <c r="K481" s="14" t="s">
        <v>61</v>
      </c>
      <c r="L481" s="14" t="s">
        <v>55</v>
      </c>
      <c r="M481" s="14" t="s">
        <v>47</v>
      </c>
      <c r="N481" s="15" t="s">
        <v>49</v>
      </c>
      <c r="O481" s="14" t="s">
        <v>83</v>
      </c>
      <c r="P481" s="14" t="s">
        <v>49</v>
      </c>
      <c r="Q481" s="14" t="s">
        <v>83</v>
      </c>
      <c r="R481" s="14" t="s">
        <v>36</v>
      </c>
      <c r="S481" s="14" t="s">
        <v>83</v>
      </c>
      <c r="T481" s="14">
        <f t="shared" si="1"/>
        <v>0</v>
      </c>
      <c r="U481" s="14">
        <f t="shared" si="2"/>
        <v>4</v>
      </c>
      <c r="V481" s="14">
        <f t="shared" si="3"/>
        <v>0</v>
      </c>
      <c r="W481" s="16">
        <f t="shared" si="4"/>
        <v>1</v>
      </c>
      <c r="X481" s="14" t="str">
        <f t="shared" si="5"/>
        <v>Offensive</v>
      </c>
      <c r="Y481" s="17">
        <f t="shared" si="6"/>
        <v>2.309401077</v>
      </c>
    </row>
    <row r="482">
      <c r="A482" s="7" t="s">
        <v>1861</v>
      </c>
      <c r="B482" s="8" t="s">
        <v>1862</v>
      </c>
      <c r="C482" s="9" t="s">
        <v>1863</v>
      </c>
      <c r="D482" s="9" t="s">
        <v>66</v>
      </c>
      <c r="E482" s="10" t="s">
        <v>114</v>
      </c>
      <c r="F482" s="18" t="s">
        <v>44</v>
      </c>
      <c r="G482" s="12" t="s">
        <v>31</v>
      </c>
      <c r="H482" s="12" t="s">
        <v>31</v>
      </c>
      <c r="I482" s="19" t="s">
        <v>32</v>
      </c>
      <c r="J482" s="13" t="s">
        <v>45</v>
      </c>
      <c r="K482" s="14" t="s">
        <v>61</v>
      </c>
      <c r="L482" s="14" t="s">
        <v>33</v>
      </c>
      <c r="M482" s="14" t="s">
        <v>35</v>
      </c>
      <c r="N482" s="15" t="s">
        <v>49</v>
      </c>
      <c r="O482" s="14" t="s">
        <v>115</v>
      </c>
      <c r="P482" s="14" t="s">
        <v>49</v>
      </c>
      <c r="Q482" s="14" t="s">
        <v>115</v>
      </c>
      <c r="R482" s="14" t="s">
        <v>36</v>
      </c>
      <c r="S482" s="14" t="s">
        <v>115</v>
      </c>
      <c r="T482" s="14">
        <f t="shared" si="1"/>
        <v>1</v>
      </c>
      <c r="U482" s="14">
        <f t="shared" si="2"/>
        <v>2</v>
      </c>
      <c r="V482" s="14">
        <f t="shared" si="3"/>
        <v>1</v>
      </c>
      <c r="W482" s="16">
        <f t="shared" si="4"/>
        <v>1</v>
      </c>
      <c r="X482" s="14" t="b">
        <f t="shared" si="5"/>
        <v>0</v>
      </c>
      <c r="Y482" s="17">
        <f t="shared" si="6"/>
        <v>0.5773502692</v>
      </c>
    </row>
    <row r="483">
      <c r="A483" s="7" t="s">
        <v>1864</v>
      </c>
      <c r="B483" s="8" t="s">
        <v>1865</v>
      </c>
      <c r="C483" s="9" t="s">
        <v>1866</v>
      </c>
      <c r="D483" s="9" t="s">
        <v>1867</v>
      </c>
      <c r="E483" s="10" t="s">
        <v>1868</v>
      </c>
      <c r="F483" s="11" t="s">
        <v>137</v>
      </c>
      <c r="G483" s="12" t="s">
        <v>31</v>
      </c>
      <c r="H483" s="12" t="s">
        <v>31</v>
      </c>
      <c r="I483" s="19" t="s">
        <v>32</v>
      </c>
      <c r="J483" s="13" t="s">
        <v>32</v>
      </c>
      <c r="K483" s="14" t="s">
        <v>61</v>
      </c>
      <c r="L483" s="14" t="s">
        <v>34</v>
      </c>
      <c r="M483" s="14" t="s">
        <v>35</v>
      </c>
      <c r="N483" s="15" t="s">
        <v>36</v>
      </c>
      <c r="O483" s="14" t="s">
        <v>138</v>
      </c>
      <c r="P483" s="14" t="s">
        <v>49</v>
      </c>
      <c r="Q483" s="14" t="s">
        <v>138</v>
      </c>
      <c r="R483" s="14" t="s">
        <v>36</v>
      </c>
      <c r="S483" s="14" t="s">
        <v>138</v>
      </c>
      <c r="T483" s="14">
        <f t="shared" si="1"/>
        <v>0</v>
      </c>
      <c r="U483" s="14">
        <f t="shared" si="2"/>
        <v>2</v>
      </c>
      <c r="V483" s="14">
        <f t="shared" si="3"/>
        <v>2</v>
      </c>
      <c r="W483" s="16">
        <f t="shared" si="4"/>
        <v>1</v>
      </c>
      <c r="X483" s="14" t="b">
        <f t="shared" si="5"/>
        <v>0</v>
      </c>
      <c r="Y483" s="17">
        <f t="shared" si="6"/>
        <v>1.154700538</v>
      </c>
    </row>
    <row r="484">
      <c r="A484" s="7" t="s">
        <v>1869</v>
      </c>
      <c r="B484" s="8" t="s">
        <v>1870</v>
      </c>
      <c r="C484" s="9" t="s">
        <v>1871</v>
      </c>
      <c r="D484" s="9" t="s">
        <v>201</v>
      </c>
      <c r="E484" s="10" t="s">
        <v>1872</v>
      </c>
      <c r="F484" s="18" t="s">
        <v>44</v>
      </c>
      <c r="G484" s="12" t="s">
        <v>31</v>
      </c>
      <c r="H484" s="12" t="s">
        <v>31</v>
      </c>
      <c r="I484" s="19" t="s">
        <v>32</v>
      </c>
      <c r="J484" s="13" t="s">
        <v>45</v>
      </c>
      <c r="K484" s="14" t="s">
        <v>61</v>
      </c>
      <c r="L484" s="14" t="s">
        <v>46</v>
      </c>
      <c r="M484" s="14" t="s">
        <v>35</v>
      </c>
      <c r="N484" s="15" t="s">
        <v>49</v>
      </c>
      <c r="O484" s="14" t="s">
        <v>115</v>
      </c>
      <c r="P484" s="14" t="s">
        <v>49</v>
      </c>
      <c r="Q484" s="14" t="s">
        <v>116</v>
      </c>
      <c r="R484" s="14" t="s">
        <v>49</v>
      </c>
      <c r="S484" s="14" t="s">
        <v>115</v>
      </c>
      <c r="T484" s="14">
        <f t="shared" si="1"/>
        <v>1</v>
      </c>
      <c r="U484" s="14">
        <f t="shared" si="2"/>
        <v>2</v>
      </c>
      <c r="V484" s="14">
        <f t="shared" si="3"/>
        <v>1</v>
      </c>
      <c r="W484" s="16">
        <f t="shared" si="4"/>
        <v>1</v>
      </c>
      <c r="X484" s="14" t="b">
        <f t="shared" si="5"/>
        <v>0</v>
      </c>
      <c r="Y484" s="17">
        <f t="shared" si="6"/>
        <v>0.5773502692</v>
      </c>
    </row>
    <row r="485">
      <c r="A485" s="7" t="s">
        <v>1873</v>
      </c>
      <c r="B485" s="8" t="s">
        <v>1874</v>
      </c>
      <c r="C485" s="9" t="s">
        <v>1875</v>
      </c>
      <c r="D485" s="9" t="s">
        <v>201</v>
      </c>
      <c r="E485" s="10" t="s">
        <v>201</v>
      </c>
      <c r="F485" s="18" t="s">
        <v>44</v>
      </c>
      <c r="G485" s="12" t="s">
        <v>45</v>
      </c>
      <c r="H485" s="12" t="s">
        <v>45</v>
      </c>
      <c r="I485" s="19" t="s">
        <v>31</v>
      </c>
      <c r="J485" s="13" t="s">
        <v>45</v>
      </c>
      <c r="K485" s="14" t="s">
        <v>61</v>
      </c>
      <c r="L485" s="14" t="s">
        <v>55</v>
      </c>
      <c r="M485" s="14" t="s">
        <v>47</v>
      </c>
      <c r="N485" s="15" t="s">
        <v>49</v>
      </c>
      <c r="O485" s="14" t="s">
        <v>201</v>
      </c>
      <c r="P485" s="14" t="s">
        <v>48</v>
      </c>
      <c r="Q485" s="14" t="s">
        <v>201</v>
      </c>
      <c r="R485" s="14" t="s">
        <v>48</v>
      </c>
      <c r="S485" s="14" t="s">
        <v>201</v>
      </c>
      <c r="T485" s="14">
        <f t="shared" si="1"/>
        <v>3</v>
      </c>
      <c r="U485" s="14">
        <f t="shared" si="2"/>
        <v>1</v>
      </c>
      <c r="V485" s="14">
        <f t="shared" si="3"/>
        <v>0</v>
      </c>
      <c r="W485" s="16">
        <f t="shared" si="4"/>
        <v>1</v>
      </c>
      <c r="X485" s="14" t="str">
        <f t="shared" si="5"/>
        <v>Normal</v>
      </c>
      <c r="Y485" s="17">
        <f t="shared" si="6"/>
        <v>1.527525232</v>
      </c>
    </row>
    <row r="486">
      <c r="A486" s="7" t="s">
        <v>1876</v>
      </c>
      <c r="B486" s="8" t="s">
        <v>1877</v>
      </c>
      <c r="C486" s="9" t="s">
        <v>1878</v>
      </c>
      <c r="D486" s="9" t="s">
        <v>1626</v>
      </c>
      <c r="E486" s="10" t="s">
        <v>73</v>
      </c>
      <c r="F486" s="18" t="s">
        <v>44</v>
      </c>
      <c r="G486" s="12" t="s">
        <v>32</v>
      </c>
      <c r="H486" s="12" t="s">
        <v>31</v>
      </c>
      <c r="I486" s="19" t="s">
        <v>32</v>
      </c>
      <c r="J486" s="13" t="s">
        <v>45</v>
      </c>
      <c r="K486" s="14" t="s">
        <v>61</v>
      </c>
      <c r="L486" s="14" t="s">
        <v>33</v>
      </c>
      <c r="M486" s="14" t="s">
        <v>35</v>
      </c>
      <c r="N486" s="15" t="s">
        <v>49</v>
      </c>
      <c r="O486" s="14" t="s">
        <v>42</v>
      </c>
      <c r="P486" s="14" t="s">
        <v>48</v>
      </c>
      <c r="Q486" s="14" t="s">
        <v>72</v>
      </c>
      <c r="R486" s="14" t="s">
        <v>36</v>
      </c>
      <c r="S486" s="14" t="s">
        <v>37</v>
      </c>
      <c r="T486" s="14">
        <f t="shared" si="1"/>
        <v>1</v>
      </c>
      <c r="U486" s="14">
        <f t="shared" si="2"/>
        <v>1</v>
      </c>
      <c r="V486" s="14">
        <f t="shared" si="3"/>
        <v>2</v>
      </c>
      <c r="W486" s="16">
        <f t="shared" si="4"/>
        <v>1</v>
      </c>
      <c r="X486" s="14" t="b">
        <f t="shared" si="5"/>
        <v>0</v>
      </c>
      <c r="Y486" s="17">
        <f t="shared" si="6"/>
        <v>0.5773502692</v>
      </c>
    </row>
    <row r="487">
      <c r="A487" s="7" t="s">
        <v>1879</v>
      </c>
      <c r="B487" s="8" t="s">
        <v>1880</v>
      </c>
      <c r="C487" s="9" t="s">
        <v>1881</v>
      </c>
      <c r="D487" s="9" t="s">
        <v>72</v>
      </c>
      <c r="E487" s="10" t="s">
        <v>72</v>
      </c>
      <c r="F487" s="11" t="s">
        <v>73</v>
      </c>
      <c r="G487" s="12" t="s">
        <v>31</v>
      </c>
      <c r="H487" s="12" t="s">
        <v>31</v>
      </c>
      <c r="I487" s="19" t="s">
        <v>32</v>
      </c>
      <c r="J487" s="13" t="s">
        <v>32</v>
      </c>
      <c r="K487" s="14" t="s">
        <v>61</v>
      </c>
      <c r="L487" s="14" t="s">
        <v>34</v>
      </c>
      <c r="M487" s="14" t="s">
        <v>35</v>
      </c>
      <c r="N487" s="15" t="s">
        <v>36</v>
      </c>
      <c r="O487" s="14" t="s">
        <v>72</v>
      </c>
      <c r="P487" s="14" t="s">
        <v>36</v>
      </c>
      <c r="Q487" s="14" t="s">
        <v>72</v>
      </c>
      <c r="R487" s="14" t="s">
        <v>36</v>
      </c>
      <c r="S487" s="14" t="s">
        <v>72</v>
      </c>
      <c r="T487" s="14">
        <f t="shared" si="1"/>
        <v>0</v>
      </c>
      <c r="U487" s="14">
        <f t="shared" si="2"/>
        <v>2</v>
      </c>
      <c r="V487" s="14">
        <f t="shared" si="3"/>
        <v>2</v>
      </c>
      <c r="W487" s="16">
        <f t="shared" si="4"/>
        <v>1</v>
      </c>
      <c r="X487" s="14" t="b">
        <f t="shared" si="5"/>
        <v>0</v>
      </c>
      <c r="Y487" s="17">
        <f t="shared" si="6"/>
        <v>1.154700538</v>
      </c>
    </row>
    <row r="488">
      <c r="A488" s="7" t="s">
        <v>1882</v>
      </c>
      <c r="B488" s="8" t="s">
        <v>1883</v>
      </c>
      <c r="C488" s="9" t="s">
        <v>1884</v>
      </c>
      <c r="D488" s="9" t="s">
        <v>225</v>
      </c>
      <c r="E488" s="10" t="s">
        <v>181</v>
      </c>
      <c r="F488" s="18" t="s">
        <v>44</v>
      </c>
      <c r="G488" s="12" t="s">
        <v>31</v>
      </c>
      <c r="H488" s="12" t="s">
        <v>31</v>
      </c>
      <c r="I488" s="19" t="s">
        <v>32</v>
      </c>
      <c r="J488" s="13" t="s">
        <v>45</v>
      </c>
      <c r="K488" s="14" t="s">
        <v>61</v>
      </c>
      <c r="L488" s="14" t="s">
        <v>46</v>
      </c>
      <c r="M488" s="14" t="s">
        <v>35</v>
      </c>
      <c r="N488" s="15" t="s">
        <v>36</v>
      </c>
      <c r="O488" s="14" t="s">
        <v>43</v>
      </c>
      <c r="P488" s="14" t="s">
        <v>49</v>
      </c>
      <c r="Q488" s="14" t="s">
        <v>43</v>
      </c>
      <c r="R488" s="14" t="s">
        <v>49</v>
      </c>
      <c r="S488" s="14" t="s">
        <v>43</v>
      </c>
      <c r="T488" s="14">
        <f t="shared" si="1"/>
        <v>1</v>
      </c>
      <c r="U488" s="14">
        <f t="shared" si="2"/>
        <v>2</v>
      </c>
      <c r="V488" s="14">
        <f t="shared" si="3"/>
        <v>1</v>
      </c>
      <c r="W488" s="16">
        <f t="shared" si="4"/>
        <v>1</v>
      </c>
      <c r="X488" s="14" t="b">
        <f t="shared" si="5"/>
        <v>0</v>
      </c>
      <c r="Y488" s="17">
        <f t="shared" si="6"/>
        <v>0.5773502692</v>
      </c>
    </row>
    <row r="489">
      <c r="A489" s="7" t="s">
        <v>1885</v>
      </c>
      <c r="B489" s="8" t="s">
        <v>1886</v>
      </c>
      <c r="C489" s="9" t="s">
        <v>1887</v>
      </c>
      <c r="D489" s="9" t="s">
        <v>83</v>
      </c>
      <c r="E489" s="10" t="s">
        <v>83</v>
      </c>
      <c r="F489" s="18" t="s">
        <v>44</v>
      </c>
      <c r="G489" s="12" t="s">
        <v>45</v>
      </c>
      <c r="H489" s="12" t="s">
        <v>45</v>
      </c>
      <c r="I489" s="19" t="s">
        <v>31</v>
      </c>
      <c r="J489" s="13" t="s">
        <v>45</v>
      </c>
      <c r="K489" s="14" t="s">
        <v>61</v>
      </c>
      <c r="L489" s="14" t="s">
        <v>55</v>
      </c>
      <c r="M489" s="14" t="s">
        <v>47</v>
      </c>
      <c r="N489" s="15" t="s">
        <v>48</v>
      </c>
      <c r="O489" s="14" t="s">
        <v>83</v>
      </c>
      <c r="P489" s="14" t="s">
        <v>48</v>
      </c>
      <c r="Q489" s="14" t="s">
        <v>83</v>
      </c>
      <c r="R489" s="14" t="s">
        <v>48</v>
      </c>
      <c r="S489" s="14" t="s">
        <v>83</v>
      </c>
      <c r="T489" s="14">
        <f t="shared" si="1"/>
        <v>3</v>
      </c>
      <c r="U489" s="14">
        <f t="shared" si="2"/>
        <v>1</v>
      </c>
      <c r="V489" s="14">
        <f t="shared" si="3"/>
        <v>0</v>
      </c>
      <c r="W489" s="16">
        <f t="shared" si="4"/>
        <v>1</v>
      </c>
      <c r="X489" s="14" t="str">
        <f t="shared" si="5"/>
        <v>Normal</v>
      </c>
      <c r="Y489" s="17">
        <f t="shared" si="6"/>
        <v>1.527525232</v>
      </c>
    </row>
    <row r="490">
      <c r="A490" s="7" t="s">
        <v>1888</v>
      </c>
      <c r="B490" s="8" t="s">
        <v>1889</v>
      </c>
      <c r="C490" s="9" t="s">
        <v>1890</v>
      </c>
      <c r="D490" s="9" t="s">
        <v>225</v>
      </c>
      <c r="E490" s="10" t="s">
        <v>43</v>
      </c>
      <c r="F490" s="11" t="s">
        <v>43</v>
      </c>
      <c r="G490" s="12" t="s">
        <v>32</v>
      </c>
      <c r="H490" s="12" t="s">
        <v>32</v>
      </c>
      <c r="I490" s="19" t="s">
        <v>31</v>
      </c>
      <c r="J490" s="13" t="s">
        <v>31</v>
      </c>
      <c r="K490" s="14" t="s">
        <v>61</v>
      </c>
      <c r="L490" s="14" t="s">
        <v>33</v>
      </c>
      <c r="M490" s="14" t="s">
        <v>47</v>
      </c>
      <c r="N490" s="15" t="s">
        <v>48</v>
      </c>
      <c r="O490" s="14" t="s">
        <v>42</v>
      </c>
      <c r="P490" s="14" t="s">
        <v>48</v>
      </c>
      <c r="Q490" s="14" t="s">
        <v>42</v>
      </c>
      <c r="R490" s="14" t="s">
        <v>48</v>
      </c>
      <c r="S490" s="14" t="s">
        <v>42</v>
      </c>
      <c r="T490" s="14">
        <f t="shared" si="1"/>
        <v>0</v>
      </c>
      <c r="U490" s="14">
        <f t="shared" si="2"/>
        <v>2</v>
      </c>
      <c r="V490" s="14">
        <f t="shared" si="3"/>
        <v>2</v>
      </c>
      <c r="W490" s="16">
        <f t="shared" si="4"/>
        <v>1</v>
      </c>
      <c r="X490" s="14" t="b">
        <f t="shared" si="5"/>
        <v>0</v>
      </c>
      <c r="Y490" s="17">
        <f t="shared" si="6"/>
        <v>1.154700538</v>
      </c>
    </row>
    <row r="491">
      <c r="A491" s="7" t="s">
        <v>1891</v>
      </c>
      <c r="B491" s="8" t="s">
        <v>1892</v>
      </c>
      <c r="C491" s="9" t="s">
        <v>1893</v>
      </c>
      <c r="D491" s="9" t="s">
        <v>66</v>
      </c>
      <c r="E491" s="10" t="s">
        <v>66</v>
      </c>
      <c r="F491" s="11" t="s">
        <v>155</v>
      </c>
      <c r="G491" s="12" t="s">
        <v>45</v>
      </c>
      <c r="H491" s="12" t="s">
        <v>31</v>
      </c>
      <c r="I491" s="19" t="s">
        <v>32</v>
      </c>
      <c r="J491" s="13" t="s">
        <v>32</v>
      </c>
      <c r="K491" s="14" t="s">
        <v>61</v>
      </c>
      <c r="L491" s="14" t="s">
        <v>34</v>
      </c>
      <c r="M491" s="14" t="s">
        <v>35</v>
      </c>
      <c r="N491" s="15" t="s">
        <v>48</v>
      </c>
      <c r="O491" s="14" t="s">
        <v>42</v>
      </c>
      <c r="P491" s="14" t="s">
        <v>36</v>
      </c>
      <c r="Q491" s="14" t="s">
        <v>115</v>
      </c>
      <c r="R491" s="14" t="s">
        <v>49</v>
      </c>
      <c r="S491" s="14" t="s">
        <v>115</v>
      </c>
      <c r="T491" s="14">
        <f t="shared" si="1"/>
        <v>1</v>
      </c>
      <c r="U491" s="14">
        <f t="shared" si="2"/>
        <v>1</v>
      </c>
      <c r="V491" s="14">
        <f t="shared" si="3"/>
        <v>2</v>
      </c>
      <c r="W491" s="16">
        <f t="shared" si="4"/>
        <v>1</v>
      </c>
      <c r="X491" s="14" t="b">
        <f t="shared" si="5"/>
        <v>0</v>
      </c>
      <c r="Y491" s="17">
        <f t="shared" si="6"/>
        <v>0.5773502692</v>
      </c>
    </row>
    <row r="492">
      <c r="A492" s="7" t="s">
        <v>1894</v>
      </c>
      <c r="B492" s="8" t="s">
        <v>1895</v>
      </c>
      <c r="C492" s="9" t="s">
        <v>1896</v>
      </c>
      <c r="D492" s="9" t="s">
        <v>42</v>
      </c>
      <c r="E492" s="10" t="s">
        <v>1897</v>
      </c>
      <c r="F492" s="11" t="s">
        <v>1897</v>
      </c>
      <c r="G492" s="12" t="s">
        <v>45</v>
      </c>
      <c r="H492" s="12" t="s">
        <v>31</v>
      </c>
      <c r="I492" s="19" t="s">
        <v>32</v>
      </c>
      <c r="J492" s="13" t="s">
        <v>32</v>
      </c>
      <c r="K492" s="14" t="s">
        <v>61</v>
      </c>
      <c r="L492" s="14" t="s">
        <v>46</v>
      </c>
      <c r="M492" s="14" t="s">
        <v>35</v>
      </c>
      <c r="N492" s="15" t="s">
        <v>49</v>
      </c>
      <c r="O492" s="14" t="s">
        <v>62</v>
      </c>
      <c r="P492" s="14" t="s">
        <v>49</v>
      </c>
      <c r="Q492" s="14" t="s">
        <v>1898</v>
      </c>
      <c r="R492" s="14" t="s">
        <v>49</v>
      </c>
      <c r="S492" s="14" t="s">
        <v>1899</v>
      </c>
      <c r="T492" s="14">
        <f t="shared" si="1"/>
        <v>1</v>
      </c>
      <c r="U492" s="14">
        <f t="shared" si="2"/>
        <v>1</v>
      </c>
      <c r="V492" s="14">
        <f t="shared" si="3"/>
        <v>2</v>
      </c>
      <c r="W492" s="16">
        <f t="shared" si="4"/>
        <v>1</v>
      </c>
      <c r="X492" s="14" t="b">
        <f t="shared" si="5"/>
        <v>0</v>
      </c>
      <c r="Y492" s="17">
        <f t="shared" si="6"/>
        <v>0.5773502692</v>
      </c>
    </row>
    <row r="493">
      <c r="A493" s="7" t="s">
        <v>1900</v>
      </c>
      <c r="B493" s="8" t="s">
        <v>1901</v>
      </c>
      <c r="C493" s="9" t="s">
        <v>1902</v>
      </c>
      <c r="D493" s="9" t="s">
        <v>83</v>
      </c>
      <c r="E493" s="10" t="s">
        <v>1052</v>
      </c>
      <c r="F493" s="11" t="s">
        <v>464</v>
      </c>
      <c r="G493" s="12" t="s">
        <v>32</v>
      </c>
      <c r="H493" s="12" t="s">
        <v>32</v>
      </c>
      <c r="I493" s="19" t="s">
        <v>31</v>
      </c>
      <c r="J493" s="13" t="s">
        <v>31</v>
      </c>
      <c r="K493" s="14" t="s">
        <v>61</v>
      </c>
      <c r="L493" s="14" t="s">
        <v>55</v>
      </c>
      <c r="M493" s="14" t="s">
        <v>47</v>
      </c>
      <c r="N493" s="15" t="s">
        <v>48</v>
      </c>
      <c r="O493" s="14" t="s">
        <v>42</v>
      </c>
      <c r="P493" s="14" t="s">
        <v>49</v>
      </c>
      <c r="Q493" s="14" t="s">
        <v>122</v>
      </c>
      <c r="R493" s="14" t="s">
        <v>49</v>
      </c>
      <c r="S493" s="14" t="s">
        <v>83</v>
      </c>
      <c r="T493" s="14">
        <f t="shared" si="1"/>
        <v>0</v>
      </c>
      <c r="U493" s="14">
        <f t="shared" si="2"/>
        <v>2</v>
      </c>
      <c r="V493" s="14">
        <f t="shared" si="3"/>
        <v>2</v>
      </c>
      <c r="W493" s="16">
        <f t="shared" si="4"/>
        <v>1</v>
      </c>
      <c r="X493" s="14" t="b">
        <f t="shared" si="5"/>
        <v>0</v>
      </c>
      <c r="Y493" s="17">
        <f t="shared" si="6"/>
        <v>1.154700538</v>
      </c>
    </row>
    <row r="494">
      <c r="A494" s="7" t="s">
        <v>1903</v>
      </c>
      <c r="B494" s="8" t="s">
        <v>1904</v>
      </c>
      <c r="C494" s="9" t="s">
        <v>1905</v>
      </c>
      <c r="D494" s="9" t="s">
        <v>225</v>
      </c>
      <c r="E494" s="10" t="s">
        <v>181</v>
      </c>
      <c r="F494" s="18" t="s">
        <v>44</v>
      </c>
      <c r="G494" s="12" t="s">
        <v>45</v>
      </c>
      <c r="H494" s="12" t="s">
        <v>45</v>
      </c>
      <c r="I494" s="19" t="s">
        <v>31</v>
      </c>
      <c r="J494" s="13" t="s">
        <v>45</v>
      </c>
      <c r="K494" s="14" t="s">
        <v>61</v>
      </c>
      <c r="L494" s="14" t="s">
        <v>33</v>
      </c>
      <c r="M494" s="14" t="s">
        <v>47</v>
      </c>
      <c r="N494" s="15" t="s">
        <v>48</v>
      </c>
      <c r="O494" s="14" t="s">
        <v>42</v>
      </c>
      <c r="P494" s="14" t="s">
        <v>48</v>
      </c>
      <c r="Q494" s="14" t="s">
        <v>43</v>
      </c>
      <c r="R494" s="14" t="s">
        <v>49</v>
      </c>
      <c r="S494" s="14" t="s">
        <v>43</v>
      </c>
      <c r="T494" s="14">
        <f t="shared" si="1"/>
        <v>3</v>
      </c>
      <c r="U494" s="14">
        <f t="shared" si="2"/>
        <v>1</v>
      </c>
      <c r="V494" s="14">
        <f t="shared" si="3"/>
        <v>0</v>
      </c>
      <c r="W494" s="16">
        <f t="shared" si="4"/>
        <v>1</v>
      </c>
      <c r="X494" s="14" t="str">
        <f t="shared" si="5"/>
        <v>Normal</v>
      </c>
      <c r="Y494" s="17">
        <f t="shared" si="6"/>
        <v>1.527525232</v>
      </c>
    </row>
    <row r="495">
      <c r="A495" s="7" t="s">
        <v>1906</v>
      </c>
      <c r="B495" s="8" t="s">
        <v>1907</v>
      </c>
      <c r="C495" s="9" t="s">
        <v>1908</v>
      </c>
      <c r="D495" s="9" t="s">
        <v>83</v>
      </c>
      <c r="E495" s="10" t="s">
        <v>83</v>
      </c>
      <c r="F495" s="11" t="s">
        <v>121</v>
      </c>
      <c r="G495" s="12" t="s">
        <v>31</v>
      </c>
      <c r="H495" s="12" t="s">
        <v>31</v>
      </c>
      <c r="I495" s="19" t="s">
        <v>31</v>
      </c>
      <c r="J495" s="13" t="s">
        <v>31</v>
      </c>
      <c r="K495" s="14" t="s">
        <v>61</v>
      </c>
      <c r="L495" s="14" t="s">
        <v>34</v>
      </c>
      <c r="M495" s="14" t="s">
        <v>47</v>
      </c>
      <c r="N495" s="15" t="s">
        <v>49</v>
      </c>
      <c r="O495" s="14" t="s">
        <v>83</v>
      </c>
      <c r="P495" s="14" t="s">
        <v>36</v>
      </c>
      <c r="Q495" s="14" t="s">
        <v>83</v>
      </c>
      <c r="R495" s="14" t="s">
        <v>36</v>
      </c>
      <c r="S495" s="14" t="s">
        <v>83</v>
      </c>
      <c r="T495" s="14">
        <f t="shared" si="1"/>
        <v>0</v>
      </c>
      <c r="U495" s="14">
        <f t="shared" si="2"/>
        <v>4</v>
      </c>
      <c r="V495" s="14">
        <f t="shared" si="3"/>
        <v>0</v>
      </c>
      <c r="W495" s="16">
        <f t="shared" si="4"/>
        <v>1</v>
      </c>
      <c r="X495" s="14" t="str">
        <f t="shared" si="5"/>
        <v>Offensive</v>
      </c>
      <c r="Y495" s="17">
        <f t="shared" si="6"/>
        <v>2.309401077</v>
      </c>
    </row>
    <row r="496">
      <c r="A496" s="7" t="s">
        <v>1909</v>
      </c>
      <c r="B496" s="8" t="s">
        <v>1910</v>
      </c>
      <c r="C496" s="9" t="s">
        <v>1911</v>
      </c>
      <c r="D496" s="9" t="s">
        <v>72</v>
      </c>
      <c r="E496" s="10" t="s">
        <v>73</v>
      </c>
      <c r="F496" s="11" t="s">
        <v>73</v>
      </c>
      <c r="G496" s="12" t="s">
        <v>31</v>
      </c>
      <c r="H496" s="12" t="s">
        <v>31</v>
      </c>
      <c r="I496" s="19" t="s">
        <v>32</v>
      </c>
      <c r="J496" s="13" t="s">
        <v>32</v>
      </c>
      <c r="K496" s="14" t="s">
        <v>61</v>
      </c>
      <c r="L496" s="14" t="s">
        <v>46</v>
      </c>
      <c r="M496" s="14" t="s">
        <v>35</v>
      </c>
      <c r="N496" s="15" t="s">
        <v>36</v>
      </c>
      <c r="O496" s="14" t="s">
        <v>72</v>
      </c>
      <c r="P496" s="14" t="s">
        <v>36</v>
      </c>
      <c r="Q496" s="14" t="s">
        <v>72</v>
      </c>
      <c r="R496" s="14" t="s">
        <v>36</v>
      </c>
      <c r="S496" s="14" t="s">
        <v>72</v>
      </c>
      <c r="T496" s="14">
        <f t="shared" si="1"/>
        <v>0</v>
      </c>
      <c r="U496" s="14">
        <f t="shared" si="2"/>
        <v>2</v>
      </c>
      <c r="V496" s="14">
        <f t="shared" si="3"/>
        <v>2</v>
      </c>
      <c r="W496" s="16">
        <f t="shared" si="4"/>
        <v>1</v>
      </c>
      <c r="X496" s="14" t="b">
        <f t="shared" si="5"/>
        <v>0</v>
      </c>
      <c r="Y496" s="17">
        <f t="shared" si="6"/>
        <v>1.154700538</v>
      </c>
    </row>
    <row r="497">
      <c r="A497" s="7" t="s">
        <v>1912</v>
      </c>
      <c r="B497" s="8" t="s">
        <v>1913</v>
      </c>
      <c r="C497" s="9" t="s">
        <v>1914</v>
      </c>
      <c r="D497" s="9" t="s">
        <v>37</v>
      </c>
      <c r="E497" s="10" t="s">
        <v>53</v>
      </c>
      <c r="F497" s="18" t="s">
        <v>44</v>
      </c>
      <c r="G497" s="12" t="s">
        <v>31</v>
      </c>
      <c r="H497" s="12" t="s">
        <v>31</v>
      </c>
      <c r="I497" s="19" t="s">
        <v>31</v>
      </c>
      <c r="J497" s="13" t="s">
        <v>45</v>
      </c>
      <c r="K497" s="14" t="s">
        <v>61</v>
      </c>
      <c r="L497" s="14" t="s">
        <v>55</v>
      </c>
      <c r="M497" s="14" t="s">
        <v>35</v>
      </c>
      <c r="N497" s="15" t="s">
        <v>36</v>
      </c>
      <c r="O497" s="14" t="s">
        <v>37</v>
      </c>
      <c r="P497" s="14" t="s">
        <v>36</v>
      </c>
      <c r="Q497" s="14" t="s">
        <v>37</v>
      </c>
      <c r="R497" s="14" t="s">
        <v>36</v>
      </c>
      <c r="S497" s="14" t="s">
        <v>37</v>
      </c>
      <c r="T497" s="14">
        <f t="shared" si="1"/>
        <v>1</v>
      </c>
      <c r="U497" s="14">
        <f t="shared" si="2"/>
        <v>3</v>
      </c>
      <c r="V497" s="14">
        <f t="shared" si="3"/>
        <v>0</v>
      </c>
      <c r="W497" s="16">
        <f t="shared" si="4"/>
        <v>1</v>
      </c>
      <c r="X497" s="14" t="str">
        <f t="shared" si="5"/>
        <v>Offensive</v>
      </c>
      <c r="Y497" s="17">
        <f t="shared" si="6"/>
        <v>1.527525232</v>
      </c>
    </row>
    <row r="498">
      <c r="A498" s="7" t="s">
        <v>1915</v>
      </c>
      <c r="B498" s="8" t="s">
        <v>1916</v>
      </c>
      <c r="C498" s="9" t="s">
        <v>1917</v>
      </c>
      <c r="D498" s="9" t="s">
        <v>225</v>
      </c>
      <c r="E498" s="10" t="s">
        <v>1918</v>
      </c>
      <c r="F498" s="11" t="s">
        <v>43</v>
      </c>
      <c r="G498" s="12" t="s">
        <v>31</v>
      </c>
      <c r="H498" s="12" t="s">
        <v>32</v>
      </c>
      <c r="I498" s="19" t="s">
        <v>32</v>
      </c>
      <c r="J498" s="13" t="s">
        <v>32</v>
      </c>
      <c r="K498" s="14" t="s">
        <v>61</v>
      </c>
      <c r="L498" s="14" t="s">
        <v>33</v>
      </c>
      <c r="M498" s="14" t="s">
        <v>35</v>
      </c>
      <c r="N498" s="15" t="s">
        <v>36</v>
      </c>
      <c r="O498" s="14" t="s">
        <v>37</v>
      </c>
      <c r="P498" s="14" t="s">
        <v>36</v>
      </c>
      <c r="Q498" s="14" t="s">
        <v>95</v>
      </c>
      <c r="R498" s="14" t="s">
        <v>48</v>
      </c>
      <c r="S498" s="14" t="s">
        <v>42</v>
      </c>
      <c r="T498" s="14">
        <f t="shared" si="1"/>
        <v>0</v>
      </c>
      <c r="U498" s="14">
        <f t="shared" si="2"/>
        <v>1</v>
      </c>
      <c r="V498" s="14">
        <f t="shared" si="3"/>
        <v>3</v>
      </c>
      <c r="W498" s="16">
        <f t="shared" si="4"/>
        <v>1</v>
      </c>
      <c r="X498" s="14" t="str">
        <f t="shared" si="5"/>
        <v>Hate Speech</v>
      </c>
      <c r="Y498" s="17">
        <f t="shared" si="6"/>
        <v>1.527525232</v>
      </c>
    </row>
    <row r="499">
      <c r="A499" s="7" t="s">
        <v>1919</v>
      </c>
      <c r="B499" s="8" t="s">
        <v>1920</v>
      </c>
      <c r="C499" s="9" t="s">
        <v>1921</v>
      </c>
      <c r="D499" s="9" t="s">
        <v>225</v>
      </c>
      <c r="E499" s="10" t="s">
        <v>225</v>
      </c>
      <c r="F499" s="11" t="s">
        <v>43</v>
      </c>
      <c r="G499" s="12" t="s">
        <v>31</v>
      </c>
      <c r="H499" s="12" t="s">
        <v>31</v>
      </c>
      <c r="I499" s="19" t="s">
        <v>31</v>
      </c>
      <c r="J499" s="13" t="s">
        <v>31</v>
      </c>
      <c r="K499" s="14" t="s">
        <v>61</v>
      </c>
      <c r="L499" s="14" t="s">
        <v>34</v>
      </c>
      <c r="M499" s="14" t="s">
        <v>47</v>
      </c>
      <c r="N499" s="15" t="s">
        <v>49</v>
      </c>
      <c r="O499" s="14" t="s">
        <v>43</v>
      </c>
      <c r="P499" s="14" t="s">
        <v>48</v>
      </c>
      <c r="Q499" s="14" t="s">
        <v>42</v>
      </c>
      <c r="R499" s="14" t="s">
        <v>49</v>
      </c>
      <c r="S499" s="14" t="s">
        <v>43</v>
      </c>
      <c r="T499" s="14">
        <f t="shared" si="1"/>
        <v>0</v>
      </c>
      <c r="U499" s="14">
        <f t="shared" si="2"/>
        <v>4</v>
      </c>
      <c r="V499" s="14">
        <f t="shared" si="3"/>
        <v>0</v>
      </c>
      <c r="W499" s="16">
        <f t="shared" si="4"/>
        <v>1</v>
      </c>
      <c r="X499" s="14" t="str">
        <f t="shared" si="5"/>
        <v>Offensive</v>
      </c>
      <c r="Y499" s="17">
        <f t="shared" si="6"/>
        <v>2.309401077</v>
      </c>
    </row>
    <row r="500">
      <c r="A500" s="7" t="s">
        <v>1922</v>
      </c>
      <c r="B500" s="8" t="s">
        <v>1923</v>
      </c>
      <c r="C500" s="9" t="s">
        <v>1924</v>
      </c>
      <c r="D500" s="9" t="s">
        <v>1925</v>
      </c>
      <c r="E500" s="10" t="s">
        <v>1926</v>
      </c>
      <c r="F500" s="11" t="s">
        <v>1927</v>
      </c>
      <c r="G500" s="12" t="s">
        <v>31</v>
      </c>
      <c r="H500" s="12" t="s">
        <v>31</v>
      </c>
      <c r="I500" s="19" t="s">
        <v>32</v>
      </c>
      <c r="J500" s="13" t="s">
        <v>32</v>
      </c>
      <c r="K500" s="14" t="s">
        <v>61</v>
      </c>
      <c r="L500" s="14" t="s">
        <v>46</v>
      </c>
      <c r="M500" s="14" t="s">
        <v>35</v>
      </c>
      <c r="N500" s="15" t="s">
        <v>36</v>
      </c>
      <c r="O500" s="14" t="s">
        <v>94</v>
      </c>
      <c r="P500" s="14" t="s">
        <v>36</v>
      </c>
      <c r="Q500" s="14" t="s">
        <v>1928</v>
      </c>
      <c r="R500" s="14" t="s">
        <v>36</v>
      </c>
      <c r="S500" s="14" t="s">
        <v>1929</v>
      </c>
      <c r="T500" s="14">
        <f t="shared" si="1"/>
        <v>0</v>
      </c>
      <c r="U500" s="14">
        <f t="shared" si="2"/>
        <v>2</v>
      </c>
      <c r="V500" s="14">
        <f t="shared" si="3"/>
        <v>2</v>
      </c>
      <c r="W500" s="16">
        <f t="shared" si="4"/>
        <v>1</v>
      </c>
      <c r="X500" s="14" t="b">
        <f t="shared" si="5"/>
        <v>0</v>
      </c>
      <c r="Y500" s="17">
        <f t="shared" si="6"/>
        <v>1.154700538</v>
      </c>
    </row>
    <row r="501">
      <c r="A501" s="7" t="s">
        <v>1930</v>
      </c>
      <c r="B501" s="8" t="s">
        <v>1931</v>
      </c>
      <c r="C501" s="9" t="s">
        <v>1932</v>
      </c>
      <c r="D501" s="9" t="s">
        <v>42</v>
      </c>
      <c r="E501" s="10" t="s">
        <v>72</v>
      </c>
      <c r="F501" s="18" t="s">
        <v>44</v>
      </c>
      <c r="G501" s="12" t="s">
        <v>45</v>
      </c>
      <c r="H501" s="12" t="s">
        <v>45</v>
      </c>
      <c r="I501" s="19" t="s">
        <v>32</v>
      </c>
      <c r="J501" s="13" t="s">
        <v>45</v>
      </c>
      <c r="K501" s="14" t="s">
        <v>61</v>
      </c>
      <c r="L501" s="14" t="s">
        <v>55</v>
      </c>
      <c r="M501" s="14" t="s">
        <v>35</v>
      </c>
      <c r="N501" s="15" t="s">
        <v>36</v>
      </c>
      <c r="O501" s="14" t="s">
        <v>72</v>
      </c>
      <c r="P501" s="14" t="s">
        <v>49</v>
      </c>
      <c r="Q501" s="14" t="s">
        <v>72</v>
      </c>
      <c r="R501" s="14" t="s">
        <v>48</v>
      </c>
      <c r="S501" s="14" t="s">
        <v>72</v>
      </c>
      <c r="T501" s="14">
        <f t="shared" si="1"/>
        <v>3</v>
      </c>
      <c r="U501" s="14">
        <f t="shared" si="2"/>
        <v>0</v>
      </c>
      <c r="V501" s="14">
        <f t="shared" si="3"/>
        <v>1</v>
      </c>
      <c r="W501" s="16">
        <f t="shared" si="4"/>
        <v>1</v>
      </c>
      <c r="X501" s="14" t="str">
        <f t="shared" si="5"/>
        <v>Normal</v>
      </c>
      <c r="Y501" s="17">
        <f t="shared" si="6"/>
        <v>1.527525232</v>
      </c>
    </row>
  </sheetData>
  <autoFilter ref="$A$1:$Y$501">
    <sortState ref="A1:Y501">
      <sortCondition ref="A1:A501"/>
    </sortState>
  </autoFilter>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25"/>
  </cols>
  <sheetData>
    <row r="1">
      <c r="A1" s="36" t="s">
        <v>1933</v>
      </c>
      <c r="B1" s="37" t="s">
        <v>1934</v>
      </c>
      <c r="C1" s="38" t="s">
        <v>1935</v>
      </c>
    </row>
    <row r="2">
      <c r="A2" s="34" t="s">
        <v>37</v>
      </c>
      <c r="B2" s="39" t="s">
        <v>37</v>
      </c>
      <c r="C2" s="40">
        <f>COUNTIF('Feuille 1'!D2:D501,"*African*")</f>
        <v>33</v>
      </c>
    </row>
    <row r="3">
      <c r="A3" s="34" t="s">
        <v>459</v>
      </c>
      <c r="B3" s="39" t="s">
        <v>459</v>
      </c>
      <c r="C3" s="40">
        <f>COUNTIF('Feuille 1'!D2:D501,"*Black*")</f>
        <v>57</v>
      </c>
    </row>
    <row r="4">
      <c r="A4" s="34" t="s">
        <v>274</v>
      </c>
      <c r="B4" s="34" t="s">
        <v>274</v>
      </c>
      <c r="C4" s="40">
        <f>COUNTIF('Feuille 1'!D2:D501,"*Chinese*")</f>
        <v>4</v>
      </c>
    </row>
    <row r="5">
      <c r="A5" s="34" t="s">
        <v>1936</v>
      </c>
      <c r="B5" s="34" t="s">
        <v>77</v>
      </c>
      <c r="C5" s="40">
        <f>COUNTIF('Feuille 1'!D2:D501,"*Asian*")</f>
        <v>16</v>
      </c>
    </row>
    <row r="6">
      <c r="A6" s="34" t="s">
        <v>1937</v>
      </c>
      <c r="B6" s="34" t="s">
        <v>1937</v>
      </c>
      <c r="C6" s="40">
        <f>COUNTIF('Feuille 1'!D2:D501,"*Brown*")</f>
        <v>2</v>
      </c>
    </row>
    <row r="7">
      <c r="A7" s="34" t="s">
        <v>201</v>
      </c>
      <c r="B7" s="34" t="s">
        <v>201</v>
      </c>
      <c r="C7" s="40">
        <f>COUNTIF('Feuille 1'!D2:D501,"*Arab*")</f>
        <v>11</v>
      </c>
    </row>
    <row r="8">
      <c r="A8" s="34" t="s">
        <v>1938</v>
      </c>
      <c r="B8" s="39" t="s">
        <v>62</v>
      </c>
      <c r="C8" s="40">
        <f>COUNTIF('Feuille 1'!D2:D501,"*Caucasian*")</f>
        <v>9</v>
      </c>
    </row>
    <row r="9">
      <c r="A9" s="34" t="s">
        <v>1939</v>
      </c>
    </row>
    <row r="10">
      <c r="A10" s="34" t="s">
        <v>72</v>
      </c>
      <c r="B10" s="34" t="s">
        <v>72</v>
      </c>
      <c r="C10" s="40">
        <f>COUNTIF('Feuille 1'!D2:D501,"*Jewish*")</f>
        <v>34</v>
      </c>
    </row>
    <row r="11">
      <c r="A11" s="34" t="s">
        <v>1940</v>
      </c>
      <c r="B11" s="34" t="s">
        <v>1940</v>
      </c>
      <c r="C11" s="40">
        <f>COUNTIF('Feuille 1'!D2:D501,"*Mexican*")</f>
        <v>1</v>
      </c>
    </row>
    <row r="12">
      <c r="A12" s="34" t="s">
        <v>1941</v>
      </c>
      <c r="B12" s="34" t="s">
        <v>138</v>
      </c>
      <c r="C12" s="40">
        <f>COUNTIF('Feuille 1'!D2:D501,"*Hispanic*")</f>
        <v>2</v>
      </c>
    </row>
    <row r="13">
      <c r="A13" s="34" t="s">
        <v>1867</v>
      </c>
      <c r="B13" s="34" t="s">
        <v>1867</v>
      </c>
      <c r="C13" s="40">
        <f>COUNTIF('Feuille 1'!D2:D501,"*Latin*")</f>
        <v>4</v>
      </c>
    </row>
    <row r="14">
      <c r="A14" s="34" t="s">
        <v>1942</v>
      </c>
      <c r="B14" s="34" t="s">
        <v>657</v>
      </c>
      <c r="C14" s="40">
        <f>COUNTIF('Feuille 1'!D2:D501,"*Native American*")</f>
        <v>1</v>
      </c>
    </row>
    <row r="15">
      <c r="A15" s="34" t="s">
        <v>1943</v>
      </c>
      <c r="B15" s="34" t="s">
        <v>1944</v>
      </c>
      <c r="C15" s="40">
        <f>COUNTIF('Feuille 1'!D2:D501,"*Australian*")</f>
        <v>1</v>
      </c>
    </row>
    <row r="16">
      <c r="A16" s="34" t="s">
        <v>1945</v>
      </c>
      <c r="B16" s="34" t="s">
        <v>801</v>
      </c>
      <c r="C16" s="40">
        <f>COUNTIF('Feuille 1'!D2:D501,"*Indian*")</f>
        <v>1</v>
      </c>
    </row>
    <row r="17">
      <c r="A17" s="34" t="s">
        <v>1946</v>
      </c>
      <c r="B17" s="34" t="s">
        <v>1946</v>
      </c>
      <c r="C17" s="40">
        <f>COUNTIF('Feuille 1'!D2:D501,"*Somali*")</f>
        <v>1</v>
      </c>
    </row>
    <row r="18">
      <c r="A18" s="34" t="s">
        <v>1947</v>
      </c>
      <c r="B18" s="34" t="s">
        <v>1947</v>
      </c>
      <c r="C18" s="40">
        <f>COUNTIF('Feuille 1'!D2:D501,"*Biracial*")</f>
        <v>1</v>
      </c>
    </row>
    <row r="19">
      <c r="A19" s="34" t="s">
        <v>155</v>
      </c>
      <c r="B19" s="39" t="s">
        <v>66</v>
      </c>
      <c r="C19" s="40">
        <f>COUNTIF('Feuille 1'!D2:D501,"*Muslim*")</f>
        <v>57</v>
      </c>
    </row>
    <row r="20">
      <c r="A20" s="34" t="s">
        <v>115</v>
      </c>
    </row>
    <row r="21">
      <c r="A21" s="34" t="s">
        <v>83</v>
      </c>
      <c r="B21" s="39" t="s">
        <v>83</v>
      </c>
      <c r="C21" s="40">
        <f>COUNTIF('Feuille 1'!D2:D501,"*Homosexual*")</f>
        <v>62</v>
      </c>
    </row>
    <row r="22">
      <c r="A22" s="34" t="s">
        <v>1533</v>
      </c>
      <c r="B22" s="34" t="s">
        <v>1533</v>
      </c>
      <c r="C22" s="40">
        <f>COUNTIF('Feuille 1'!D2:D501,"*Trans*")</f>
        <v>3</v>
      </c>
    </row>
    <row r="23">
      <c r="A23" s="34" t="s">
        <v>861</v>
      </c>
      <c r="B23" s="34" t="s">
        <v>861</v>
      </c>
      <c r="C23" s="40">
        <f>COUNTIF('Feuille 1'!D2:D501,"*Queer*")</f>
        <v>4</v>
      </c>
    </row>
    <row r="24">
      <c r="A24" s="34" t="s">
        <v>1948</v>
      </c>
      <c r="B24" s="39" t="s">
        <v>1949</v>
      </c>
      <c r="C24" s="40">
        <f>COUNTIF('Feuille 1'!D2:D501,"*Liberal*")</f>
        <v>7</v>
      </c>
    </row>
    <row r="25">
      <c r="A25" s="34" t="s">
        <v>1950</v>
      </c>
      <c r="B25" s="34" t="s">
        <v>1951</v>
      </c>
      <c r="C25" s="40">
        <f>COUNTIF('Feuille 1'!D2:D501,"*Communist*")</f>
        <v>1</v>
      </c>
    </row>
    <row r="26">
      <c r="A26" s="34" t="s">
        <v>1302</v>
      </c>
      <c r="B26" s="34" t="s">
        <v>1302</v>
      </c>
      <c r="C26" s="40">
        <f>COUNTIF('Feuille 1'!D2:D501,"*Right-wing*")</f>
        <v>1</v>
      </c>
    </row>
    <row r="27">
      <c r="A27" s="34" t="s">
        <v>1952</v>
      </c>
      <c r="B27" s="34" t="s">
        <v>1953</v>
      </c>
      <c r="C27" s="40">
        <f>COUNTIF('Feuille 1'!D2:D501,"*Democrat*")</f>
        <v>1</v>
      </c>
    </row>
    <row r="28">
      <c r="A28" s="34" t="s">
        <v>216</v>
      </c>
      <c r="B28" s="34" t="s">
        <v>216</v>
      </c>
      <c r="C28" s="40">
        <f>COUNTIF('Feuille 1'!D2:D501,"*Pro-nazi/nazi*")</f>
        <v>3</v>
      </c>
    </row>
    <row r="29">
      <c r="A29" s="34" t="s">
        <v>109</v>
      </c>
      <c r="B29" s="34" t="s">
        <v>109</v>
      </c>
      <c r="C29" s="40">
        <f>COUNTIF('Feuille 1'!D2:D501,"*Disability*")</f>
        <v>4</v>
      </c>
    </row>
    <row r="30">
      <c r="A30" s="34" t="s">
        <v>1954</v>
      </c>
      <c r="B30" s="39" t="s">
        <v>1614</v>
      </c>
      <c r="C30" s="40">
        <f>COUNTIF('Feuille 1'!D2:D501,"*Economic Status*")</f>
        <v>8</v>
      </c>
    </row>
    <row r="31">
      <c r="A31" s="34" t="s">
        <v>1955</v>
      </c>
    </row>
    <row r="32">
      <c r="A32" s="34" t="s">
        <v>508</v>
      </c>
    </row>
    <row r="33">
      <c r="A33" s="34" t="s">
        <v>863</v>
      </c>
      <c r="B33" s="39" t="s">
        <v>863</v>
      </c>
      <c r="C33" s="40">
        <f>COUNTIF('Feuille 1'!D2:D501,"*Men*")</f>
        <v>3</v>
      </c>
    </row>
    <row r="34">
      <c r="A34" s="34" t="s">
        <v>43</v>
      </c>
      <c r="B34" s="39" t="s">
        <v>225</v>
      </c>
      <c r="C34" s="40">
        <f>COUNTIF('Feuille 1'!D2:D501,"*Woman*")</f>
        <v>59</v>
      </c>
    </row>
    <row r="35">
      <c r="A35" s="34" t="s">
        <v>99</v>
      </c>
      <c r="B35" s="34" t="s">
        <v>99</v>
      </c>
      <c r="C35" s="40">
        <f>COUNTIF('Feuille 1'!D2:D501,"*Victims of SA*")</f>
        <v>1</v>
      </c>
    </row>
    <row r="36">
      <c r="A36" s="34" t="s">
        <v>1956</v>
      </c>
      <c r="B36" s="34" t="s">
        <v>374</v>
      </c>
      <c r="C36" s="40">
        <f>COUNTIF('Feuille 1'!D2:D501,"*Immigrant*")</f>
        <v>18</v>
      </c>
    </row>
    <row r="37">
      <c r="A37" s="34" t="s">
        <v>384</v>
      </c>
      <c r="B37" s="34" t="s">
        <v>283</v>
      </c>
      <c r="C37" s="40">
        <f>COUNTIF('Feuille 1'!D2:D501,"*Refugee*")</f>
        <v>6</v>
      </c>
    </row>
    <row r="38">
      <c r="A38" s="34" t="s">
        <v>1957</v>
      </c>
      <c r="B38" s="34" t="s">
        <v>1958</v>
      </c>
      <c r="C38" s="40">
        <f>COUNTIF('Feuille 1'!D2:D501,"*Protestor*")</f>
        <v>1</v>
      </c>
    </row>
    <row r="39">
      <c r="A39" s="34" t="s">
        <v>1959</v>
      </c>
      <c r="B39" s="34" t="s">
        <v>1960</v>
      </c>
      <c r="C39" s="40">
        <f>COUNTIF('Feuille 1'!D2:D501,"*Journalist*")</f>
        <v>2</v>
      </c>
    </row>
    <row r="40">
      <c r="A40" s="34" t="s">
        <v>1961</v>
      </c>
      <c r="B40" s="39" t="s">
        <v>1962</v>
      </c>
      <c r="C40" s="40">
        <f>COUNTIF('Feuille 1'!D2:D501,"*Education*")</f>
        <v>1</v>
      </c>
    </row>
    <row r="41">
      <c r="A41" s="34" t="s">
        <v>1607</v>
      </c>
      <c r="B41" s="39" t="s">
        <v>1607</v>
      </c>
      <c r="C41" s="40">
        <f>COUNTIF('Feuille 1'!D2:D501,"*Police*")</f>
        <v>1</v>
      </c>
    </row>
    <row r="42">
      <c r="A42" s="34" t="s">
        <v>42</v>
      </c>
      <c r="B42" s="39" t="s">
        <v>42</v>
      </c>
      <c r="C42" s="40">
        <f>COUNTIF('Feuille 1'!D2:D501,"*None*")</f>
        <v>136</v>
      </c>
    </row>
    <row r="43">
      <c r="B43" s="41"/>
      <c r="C43" s="40"/>
    </row>
    <row r="44">
      <c r="B44" s="41"/>
      <c r="C44" s="40"/>
    </row>
    <row r="45">
      <c r="B45" s="41"/>
      <c r="C45" s="40"/>
    </row>
    <row r="46">
      <c r="B46" s="41"/>
      <c r="C46" s="40"/>
    </row>
    <row r="47">
      <c r="B47" s="41"/>
      <c r="C47" s="40"/>
    </row>
    <row r="48">
      <c r="B48" s="41"/>
      <c r="C48" s="40"/>
    </row>
    <row r="49">
      <c r="B49" s="41"/>
      <c r="C49" s="40"/>
    </row>
    <row r="50">
      <c r="B50" s="41"/>
      <c r="C50" s="40"/>
    </row>
    <row r="51">
      <c r="B51" s="41"/>
      <c r="C51" s="40"/>
    </row>
    <row r="52">
      <c r="B52" s="41"/>
      <c r="C52" s="40"/>
    </row>
    <row r="53">
      <c r="B53" s="41"/>
      <c r="C53" s="40"/>
    </row>
    <row r="54">
      <c r="B54" s="41"/>
      <c r="C54" s="40"/>
    </row>
    <row r="55">
      <c r="B55" s="41"/>
      <c r="C55" s="40"/>
    </row>
    <row r="56">
      <c r="B56" s="41"/>
      <c r="C56" s="40"/>
    </row>
    <row r="57">
      <c r="B57" s="41"/>
      <c r="C57" s="40"/>
    </row>
    <row r="58">
      <c r="B58" s="41"/>
      <c r="C58" s="40"/>
    </row>
    <row r="59">
      <c r="B59" s="41"/>
      <c r="C59" s="40"/>
    </row>
    <row r="60">
      <c r="B60" s="41"/>
      <c r="C60" s="40"/>
    </row>
    <row r="61">
      <c r="B61" s="41"/>
      <c r="C61" s="40"/>
    </row>
    <row r="62">
      <c r="B62" s="41"/>
      <c r="C62" s="40"/>
    </row>
    <row r="63">
      <c r="B63" s="41"/>
      <c r="C63" s="40"/>
    </row>
    <row r="64">
      <c r="B64" s="41"/>
      <c r="C64" s="40"/>
    </row>
    <row r="65">
      <c r="B65" s="41"/>
      <c r="C65" s="40"/>
    </row>
    <row r="66">
      <c r="B66" s="41"/>
      <c r="C66" s="40"/>
    </row>
    <row r="67">
      <c r="B67" s="41"/>
      <c r="C67" s="40"/>
    </row>
    <row r="68">
      <c r="B68" s="41"/>
      <c r="C68" s="40"/>
    </row>
    <row r="69">
      <c r="B69" s="41"/>
      <c r="C69" s="40"/>
    </row>
    <row r="70">
      <c r="B70" s="41"/>
      <c r="C70" s="40"/>
    </row>
    <row r="71">
      <c r="B71" s="41"/>
      <c r="C71" s="40"/>
    </row>
    <row r="72">
      <c r="B72" s="41"/>
      <c r="C72" s="40"/>
    </row>
    <row r="73">
      <c r="B73" s="41"/>
      <c r="C73" s="40"/>
    </row>
    <row r="74">
      <c r="B74" s="41"/>
      <c r="C74" s="40"/>
    </row>
    <row r="75">
      <c r="B75" s="41"/>
      <c r="C75" s="40"/>
    </row>
    <row r="76">
      <c r="B76" s="41"/>
      <c r="C76" s="40"/>
    </row>
    <row r="77">
      <c r="B77" s="41"/>
      <c r="C77" s="40"/>
    </row>
    <row r="78">
      <c r="B78" s="41"/>
      <c r="C78" s="40"/>
    </row>
    <row r="79">
      <c r="B79" s="41"/>
      <c r="C79" s="40"/>
    </row>
    <row r="80">
      <c r="B80" s="41"/>
      <c r="C80" s="40"/>
    </row>
    <row r="81">
      <c r="B81" s="41"/>
      <c r="C81" s="40"/>
    </row>
    <row r="82">
      <c r="B82" s="41"/>
      <c r="C82" s="40"/>
    </row>
    <row r="83">
      <c r="B83" s="41"/>
      <c r="C83" s="40"/>
    </row>
    <row r="84">
      <c r="B84" s="41"/>
      <c r="C84" s="40"/>
    </row>
    <row r="85">
      <c r="B85" s="41"/>
      <c r="C85" s="40"/>
    </row>
    <row r="86">
      <c r="B86" s="41"/>
      <c r="C86" s="40"/>
    </row>
    <row r="87">
      <c r="B87" s="41"/>
      <c r="C87" s="40"/>
    </row>
    <row r="88">
      <c r="B88" s="41"/>
      <c r="C88" s="40"/>
    </row>
    <row r="89">
      <c r="B89" s="41"/>
      <c r="C89" s="40"/>
    </row>
    <row r="90">
      <c r="B90" s="41"/>
      <c r="C90" s="40"/>
    </row>
    <row r="91">
      <c r="B91" s="41"/>
      <c r="C91" s="40"/>
    </row>
    <row r="92">
      <c r="B92" s="41"/>
      <c r="C92" s="40"/>
    </row>
    <row r="93">
      <c r="B93" s="41"/>
      <c r="C93" s="40"/>
    </row>
    <row r="94">
      <c r="B94" s="41"/>
      <c r="C94" s="40"/>
    </row>
    <row r="95">
      <c r="B95" s="41"/>
      <c r="C95" s="40"/>
    </row>
    <row r="96">
      <c r="B96" s="41"/>
      <c r="C96" s="40"/>
    </row>
    <row r="97">
      <c r="B97" s="41"/>
      <c r="C97" s="40"/>
    </row>
    <row r="98">
      <c r="B98" s="41"/>
      <c r="C98" s="40"/>
    </row>
    <row r="99">
      <c r="B99" s="41"/>
      <c r="C99" s="40"/>
    </row>
    <row r="100">
      <c r="B100" s="41"/>
      <c r="C100" s="40"/>
    </row>
    <row r="101">
      <c r="B101" s="41"/>
      <c r="C101" s="40"/>
    </row>
    <row r="102">
      <c r="B102" s="41"/>
      <c r="C102" s="40"/>
    </row>
    <row r="103">
      <c r="B103" s="41"/>
      <c r="C103" s="40"/>
    </row>
    <row r="104">
      <c r="B104" s="41"/>
      <c r="C104" s="40"/>
    </row>
    <row r="105">
      <c r="B105" s="41"/>
      <c r="C105" s="40"/>
    </row>
    <row r="106">
      <c r="B106" s="41"/>
      <c r="C106" s="40"/>
    </row>
    <row r="107">
      <c r="B107" s="41"/>
      <c r="C107" s="40"/>
    </row>
    <row r="108">
      <c r="B108" s="41"/>
      <c r="C108" s="40"/>
    </row>
    <row r="109">
      <c r="B109" s="41"/>
      <c r="C109" s="40"/>
    </row>
    <row r="110">
      <c r="B110" s="41"/>
      <c r="C110" s="40"/>
    </row>
    <row r="111">
      <c r="B111" s="41"/>
      <c r="C111" s="40"/>
    </row>
    <row r="112">
      <c r="B112" s="41"/>
      <c r="C112" s="40"/>
    </row>
    <row r="113">
      <c r="B113" s="41"/>
      <c r="C113" s="40"/>
    </row>
    <row r="114">
      <c r="B114" s="41"/>
      <c r="C114" s="40"/>
    </row>
    <row r="115">
      <c r="B115" s="41"/>
      <c r="C115" s="40"/>
    </row>
    <row r="116">
      <c r="B116" s="41"/>
      <c r="C116" s="40"/>
    </row>
    <row r="117">
      <c r="B117" s="41"/>
      <c r="C117" s="40"/>
    </row>
    <row r="118">
      <c r="B118" s="41"/>
      <c r="C118" s="40"/>
    </row>
    <row r="119">
      <c r="B119" s="41"/>
      <c r="C119" s="40"/>
    </row>
    <row r="120">
      <c r="B120" s="41"/>
      <c r="C120" s="40"/>
    </row>
    <row r="121">
      <c r="B121" s="41"/>
      <c r="C121" s="40"/>
    </row>
    <row r="122">
      <c r="B122" s="41"/>
      <c r="C122" s="40"/>
    </row>
    <row r="123">
      <c r="B123" s="41"/>
      <c r="C123" s="40"/>
    </row>
    <row r="124">
      <c r="B124" s="41"/>
      <c r="C124" s="40"/>
    </row>
    <row r="125">
      <c r="B125" s="41"/>
      <c r="C125" s="40"/>
    </row>
    <row r="126">
      <c r="B126" s="41"/>
      <c r="C126" s="40"/>
    </row>
    <row r="127">
      <c r="B127" s="41"/>
      <c r="C127" s="40"/>
    </row>
    <row r="128">
      <c r="B128" s="41"/>
      <c r="C128" s="40"/>
    </row>
    <row r="129">
      <c r="B129" s="41"/>
      <c r="C129" s="40"/>
    </row>
    <row r="130">
      <c r="B130" s="41"/>
      <c r="C130" s="40"/>
    </row>
    <row r="131">
      <c r="B131" s="41"/>
      <c r="C131" s="40"/>
    </row>
    <row r="132">
      <c r="B132" s="41"/>
      <c r="C132" s="40"/>
    </row>
    <row r="133">
      <c r="B133" s="41"/>
      <c r="C133" s="40"/>
    </row>
    <row r="134">
      <c r="B134" s="41"/>
      <c r="C134" s="40"/>
    </row>
    <row r="135">
      <c r="B135" s="41"/>
      <c r="C135" s="40"/>
    </row>
    <row r="136">
      <c r="B136" s="41"/>
      <c r="C136" s="40"/>
    </row>
    <row r="137">
      <c r="B137" s="41"/>
      <c r="C137" s="40"/>
    </row>
    <row r="138">
      <c r="B138" s="41"/>
      <c r="C138" s="40"/>
    </row>
    <row r="139">
      <c r="B139" s="41"/>
      <c r="C139" s="40"/>
    </row>
    <row r="140">
      <c r="B140" s="41"/>
      <c r="C140" s="40"/>
    </row>
    <row r="141">
      <c r="B141" s="41"/>
      <c r="C141" s="40"/>
    </row>
    <row r="142">
      <c r="B142" s="41"/>
      <c r="C142" s="40"/>
    </row>
    <row r="143">
      <c r="B143" s="41"/>
      <c r="C143" s="40"/>
    </row>
    <row r="144">
      <c r="B144" s="41"/>
      <c r="C144" s="40"/>
    </row>
    <row r="145">
      <c r="B145" s="41"/>
      <c r="C145" s="40"/>
    </row>
    <row r="146">
      <c r="B146" s="41"/>
      <c r="C146" s="40"/>
    </row>
    <row r="147">
      <c r="B147" s="41"/>
      <c r="C147" s="40"/>
    </row>
    <row r="148">
      <c r="B148" s="41"/>
      <c r="C148" s="40"/>
    </row>
    <row r="149">
      <c r="B149" s="41"/>
      <c r="C149" s="40"/>
    </row>
    <row r="150">
      <c r="B150" s="41"/>
      <c r="C150" s="40"/>
    </row>
    <row r="151">
      <c r="B151" s="41"/>
      <c r="C151" s="40"/>
    </row>
    <row r="152">
      <c r="B152" s="41"/>
      <c r="C152" s="40"/>
    </row>
    <row r="153">
      <c r="B153" s="41"/>
      <c r="C153" s="40"/>
    </row>
    <row r="154">
      <c r="B154" s="41"/>
      <c r="C154" s="40"/>
    </row>
    <row r="155">
      <c r="B155" s="41"/>
      <c r="C155" s="40"/>
    </row>
    <row r="156">
      <c r="B156" s="41"/>
      <c r="C156" s="40"/>
    </row>
    <row r="157">
      <c r="B157" s="41"/>
      <c r="C157" s="40"/>
    </row>
    <row r="158">
      <c r="B158" s="41"/>
      <c r="C158" s="40"/>
    </row>
    <row r="159">
      <c r="B159" s="41"/>
      <c r="C159" s="40"/>
    </row>
    <row r="160">
      <c r="B160" s="41"/>
      <c r="C160" s="40"/>
    </row>
    <row r="161">
      <c r="B161" s="41"/>
      <c r="C161" s="40"/>
    </row>
    <row r="162">
      <c r="B162" s="41"/>
      <c r="C162" s="40"/>
    </row>
    <row r="163">
      <c r="B163" s="41"/>
      <c r="C163" s="40"/>
    </row>
    <row r="164">
      <c r="B164" s="41"/>
      <c r="C164" s="40"/>
    </row>
    <row r="165">
      <c r="B165" s="41"/>
      <c r="C165" s="40"/>
    </row>
    <row r="166">
      <c r="B166" s="41"/>
      <c r="C166" s="40"/>
    </row>
    <row r="167">
      <c r="B167" s="41"/>
      <c r="C167" s="40"/>
    </row>
    <row r="168">
      <c r="B168" s="41"/>
      <c r="C168" s="40"/>
    </row>
    <row r="169">
      <c r="B169" s="41"/>
      <c r="C169" s="40"/>
    </row>
    <row r="170">
      <c r="B170" s="41"/>
      <c r="C170" s="40"/>
    </row>
    <row r="171">
      <c r="B171" s="41"/>
      <c r="C171" s="40"/>
    </row>
    <row r="172">
      <c r="B172" s="41"/>
      <c r="C172" s="40"/>
    </row>
    <row r="173">
      <c r="B173" s="41"/>
      <c r="C173" s="40"/>
    </row>
    <row r="174">
      <c r="B174" s="41"/>
      <c r="C174" s="40"/>
    </row>
    <row r="175">
      <c r="B175" s="41"/>
      <c r="C175" s="40"/>
    </row>
    <row r="176">
      <c r="B176" s="41"/>
      <c r="C176" s="40"/>
    </row>
    <row r="177">
      <c r="B177" s="41"/>
      <c r="C177" s="40"/>
    </row>
    <row r="178">
      <c r="B178" s="41"/>
      <c r="C178" s="40"/>
    </row>
    <row r="179">
      <c r="B179" s="41"/>
      <c r="C179" s="40"/>
    </row>
    <row r="180">
      <c r="B180" s="41"/>
      <c r="C180" s="40"/>
    </row>
    <row r="181">
      <c r="B181" s="41"/>
      <c r="C181" s="40"/>
    </row>
    <row r="182">
      <c r="B182" s="41"/>
      <c r="C182" s="40"/>
    </row>
    <row r="183">
      <c r="B183" s="41"/>
      <c r="C183" s="40"/>
    </row>
    <row r="184">
      <c r="B184" s="41"/>
      <c r="C184" s="40"/>
    </row>
    <row r="185">
      <c r="B185" s="41"/>
      <c r="C185" s="40"/>
    </row>
    <row r="186">
      <c r="B186" s="41"/>
      <c r="C186" s="40"/>
    </row>
    <row r="187">
      <c r="B187" s="41"/>
      <c r="C187" s="40"/>
    </row>
    <row r="188">
      <c r="B188" s="41"/>
      <c r="C188" s="40"/>
    </row>
    <row r="189">
      <c r="B189" s="41"/>
      <c r="C189" s="40"/>
    </row>
    <row r="190">
      <c r="B190" s="41"/>
      <c r="C190" s="40"/>
    </row>
    <row r="191">
      <c r="B191" s="41"/>
      <c r="C191" s="40"/>
    </row>
    <row r="192">
      <c r="B192" s="41"/>
      <c r="C192" s="40"/>
    </row>
    <row r="193">
      <c r="B193" s="41"/>
      <c r="C193" s="40"/>
    </row>
    <row r="194">
      <c r="B194" s="41"/>
      <c r="C194" s="40"/>
    </row>
    <row r="195">
      <c r="B195" s="41"/>
      <c r="C195" s="40"/>
    </row>
    <row r="196">
      <c r="B196" s="41"/>
      <c r="C196" s="40"/>
    </row>
    <row r="197">
      <c r="B197" s="41"/>
      <c r="C197" s="40"/>
    </row>
    <row r="198">
      <c r="B198" s="41"/>
      <c r="C198" s="40"/>
    </row>
    <row r="199">
      <c r="B199" s="41"/>
      <c r="C199" s="40"/>
    </row>
    <row r="200">
      <c r="B200" s="41"/>
      <c r="C200" s="40"/>
    </row>
    <row r="201">
      <c r="B201" s="41"/>
      <c r="C201" s="40"/>
    </row>
    <row r="202">
      <c r="B202" s="41"/>
      <c r="C202" s="40"/>
    </row>
    <row r="203">
      <c r="B203" s="41"/>
      <c r="C203" s="40"/>
    </row>
    <row r="204">
      <c r="B204" s="41"/>
      <c r="C204" s="40"/>
    </row>
    <row r="205">
      <c r="B205" s="41"/>
      <c r="C205" s="40"/>
    </row>
    <row r="206">
      <c r="B206" s="41"/>
      <c r="C206" s="40"/>
    </row>
    <row r="207">
      <c r="B207" s="41"/>
      <c r="C207" s="40"/>
    </row>
    <row r="208">
      <c r="B208" s="41"/>
      <c r="C208" s="40"/>
    </row>
    <row r="209">
      <c r="B209" s="41"/>
      <c r="C209" s="40"/>
    </row>
    <row r="210">
      <c r="B210" s="41"/>
      <c r="C210" s="40"/>
    </row>
    <row r="211">
      <c r="B211" s="41"/>
      <c r="C211" s="40"/>
    </row>
    <row r="212">
      <c r="B212" s="41"/>
      <c r="C212" s="40"/>
    </row>
    <row r="213">
      <c r="B213" s="41"/>
      <c r="C213" s="40"/>
    </row>
    <row r="214">
      <c r="B214" s="41"/>
      <c r="C214" s="40"/>
    </row>
    <row r="215">
      <c r="B215" s="41"/>
      <c r="C215" s="40"/>
    </row>
    <row r="216">
      <c r="B216" s="41"/>
      <c r="C216" s="40"/>
    </row>
    <row r="217">
      <c r="B217" s="41"/>
      <c r="C217" s="40"/>
    </row>
    <row r="218">
      <c r="B218" s="41"/>
      <c r="C218" s="40"/>
    </row>
    <row r="219">
      <c r="B219" s="41"/>
      <c r="C219" s="40"/>
    </row>
    <row r="220">
      <c r="B220" s="41"/>
      <c r="C220" s="40"/>
    </row>
    <row r="221">
      <c r="B221" s="41"/>
      <c r="C221" s="40"/>
    </row>
    <row r="222">
      <c r="B222" s="41"/>
      <c r="C222" s="40"/>
    </row>
    <row r="223">
      <c r="B223" s="41"/>
      <c r="C223" s="40"/>
    </row>
    <row r="224">
      <c r="B224" s="41"/>
      <c r="C224" s="40"/>
    </row>
    <row r="225">
      <c r="B225" s="41"/>
      <c r="C225" s="40"/>
    </row>
    <row r="226">
      <c r="B226" s="41"/>
      <c r="C226" s="40"/>
    </row>
    <row r="227">
      <c r="B227" s="41"/>
      <c r="C227" s="40"/>
    </row>
    <row r="228">
      <c r="B228" s="41"/>
      <c r="C228" s="40"/>
    </row>
    <row r="229">
      <c r="B229" s="41"/>
      <c r="C229" s="40"/>
    </row>
    <row r="230">
      <c r="B230" s="41"/>
      <c r="C230" s="40"/>
    </row>
    <row r="231">
      <c r="B231" s="41"/>
      <c r="C231" s="40"/>
    </row>
    <row r="232">
      <c r="B232" s="41"/>
      <c r="C232" s="40"/>
    </row>
    <row r="233">
      <c r="B233" s="41"/>
      <c r="C233" s="40"/>
    </row>
    <row r="234">
      <c r="B234" s="41"/>
      <c r="C234" s="40"/>
    </row>
    <row r="235">
      <c r="B235" s="41"/>
      <c r="C235" s="40"/>
    </row>
    <row r="236">
      <c r="B236" s="41"/>
      <c r="C236" s="40"/>
    </row>
    <row r="237">
      <c r="B237" s="41"/>
      <c r="C237" s="40"/>
    </row>
    <row r="238">
      <c r="B238" s="41"/>
      <c r="C238" s="40"/>
    </row>
    <row r="239">
      <c r="B239" s="41"/>
      <c r="C239" s="40"/>
    </row>
    <row r="240">
      <c r="B240" s="41"/>
      <c r="C240" s="40"/>
    </row>
    <row r="241">
      <c r="B241" s="41"/>
      <c r="C241" s="40"/>
    </row>
    <row r="242">
      <c r="B242" s="41"/>
      <c r="C242" s="40"/>
    </row>
    <row r="243">
      <c r="B243" s="41"/>
      <c r="C243" s="40"/>
    </row>
    <row r="244">
      <c r="B244" s="41"/>
      <c r="C244" s="40"/>
    </row>
    <row r="245">
      <c r="B245" s="41"/>
      <c r="C245" s="40"/>
    </row>
    <row r="246">
      <c r="B246" s="41"/>
      <c r="C246" s="40"/>
    </row>
    <row r="247">
      <c r="B247" s="41"/>
      <c r="C247" s="40"/>
    </row>
    <row r="248">
      <c r="B248" s="41"/>
      <c r="C248" s="40"/>
    </row>
    <row r="249">
      <c r="B249" s="41"/>
      <c r="C249" s="40"/>
    </row>
    <row r="250">
      <c r="B250" s="41"/>
      <c r="C250" s="40"/>
    </row>
    <row r="251">
      <c r="B251" s="41"/>
      <c r="C251" s="40"/>
    </row>
    <row r="252">
      <c r="B252" s="41"/>
      <c r="C252" s="40"/>
    </row>
    <row r="253">
      <c r="B253" s="41"/>
      <c r="C253" s="40"/>
    </row>
    <row r="254">
      <c r="B254" s="41"/>
      <c r="C254" s="40"/>
    </row>
    <row r="255">
      <c r="B255" s="41"/>
      <c r="C255" s="40"/>
    </row>
    <row r="256">
      <c r="B256" s="41"/>
      <c r="C256" s="40"/>
    </row>
    <row r="257">
      <c r="B257" s="41"/>
      <c r="C257" s="40"/>
    </row>
    <row r="258">
      <c r="B258" s="41"/>
      <c r="C258" s="40"/>
    </row>
    <row r="259">
      <c r="B259" s="41"/>
      <c r="C259" s="40"/>
    </row>
    <row r="260">
      <c r="B260" s="41"/>
      <c r="C260" s="40"/>
    </row>
    <row r="261">
      <c r="B261" s="41"/>
      <c r="C261" s="40"/>
    </row>
    <row r="262">
      <c r="B262" s="41"/>
      <c r="C262" s="40"/>
    </row>
    <row r="263">
      <c r="B263" s="41"/>
      <c r="C263" s="40"/>
    </row>
    <row r="264">
      <c r="B264" s="41"/>
      <c r="C264" s="40"/>
    </row>
    <row r="265">
      <c r="B265" s="41"/>
      <c r="C265" s="40"/>
    </row>
    <row r="266">
      <c r="B266" s="41"/>
      <c r="C266" s="40"/>
    </row>
    <row r="267">
      <c r="B267" s="41"/>
      <c r="C267" s="40"/>
    </row>
    <row r="268">
      <c r="B268" s="41"/>
      <c r="C268" s="40"/>
    </row>
    <row r="269">
      <c r="B269" s="41"/>
      <c r="C269" s="40"/>
    </row>
    <row r="270">
      <c r="B270" s="41"/>
      <c r="C270" s="40"/>
    </row>
    <row r="271">
      <c r="B271" s="41"/>
      <c r="C271" s="40"/>
    </row>
    <row r="272">
      <c r="B272" s="41"/>
      <c r="C272" s="40"/>
    </row>
    <row r="273">
      <c r="B273" s="41"/>
      <c r="C273" s="40"/>
    </row>
    <row r="274">
      <c r="B274" s="41"/>
      <c r="C274" s="40"/>
    </row>
    <row r="275">
      <c r="B275" s="41"/>
      <c r="C275" s="40"/>
    </row>
    <row r="276">
      <c r="B276" s="41"/>
      <c r="C276" s="40"/>
    </row>
    <row r="277">
      <c r="B277" s="41"/>
      <c r="C277" s="40"/>
    </row>
    <row r="278">
      <c r="B278" s="41"/>
      <c r="C278" s="40"/>
    </row>
    <row r="279">
      <c r="B279" s="41"/>
      <c r="C279" s="40"/>
    </row>
    <row r="280">
      <c r="B280" s="41"/>
      <c r="C280" s="40"/>
    </row>
    <row r="281">
      <c r="B281" s="41"/>
      <c r="C281" s="40"/>
    </row>
    <row r="282">
      <c r="B282" s="41"/>
      <c r="C282" s="40"/>
    </row>
    <row r="283">
      <c r="B283" s="41"/>
      <c r="C283" s="40"/>
    </row>
    <row r="284">
      <c r="B284" s="41"/>
      <c r="C284" s="40"/>
    </row>
    <row r="285">
      <c r="B285" s="41"/>
      <c r="C285" s="40"/>
    </row>
    <row r="286">
      <c r="B286" s="41"/>
      <c r="C286" s="40"/>
    </row>
    <row r="287">
      <c r="B287" s="41"/>
      <c r="C287" s="40"/>
    </row>
    <row r="288">
      <c r="B288" s="41"/>
      <c r="C288" s="40"/>
    </row>
    <row r="289">
      <c r="B289" s="41"/>
      <c r="C289" s="40"/>
    </row>
    <row r="290">
      <c r="B290" s="41"/>
      <c r="C290" s="40"/>
    </row>
    <row r="291">
      <c r="B291" s="41"/>
      <c r="C291" s="40"/>
    </row>
    <row r="292">
      <c r="B292" s="41"/>
      <c r="C292" s="40"/>
    </row>
    <row r="293">
      <c r="B293" s="41"/>
      <c r="C293" s="40"/>
    </row>
    <row r="294">
      <c r="B294" s="41"/>
      <c r="C294" s="40"/>
    </row>
    <row r="295">
      <c r="B295" s="41"/>
      <c r="C295" s="40"/>
    </row>
    <row r="296">
      <c r="B296" s="41"/>
      <c r="C296" s="40"/>
    </row>
    <row r="297">
      <c r="B297" s="41"/>
      <c r="C297" s="40"/>
    </row>
    <row r="298">
      <c r="B298" s="41"/>
      <c r="C298" s="40"/>
    </row>
    <row r="299">
      <c r="B299" s="41"/>
      <c r="C299" s="40"/>
    </row>
    <row r="300">
      <c r="B300" s="41"/>
      <c r="C300" s="40"/>
    </row>
    <row r="301">
      <c r="B301" s="41"/>
      <c r="C301" s="40"/>
    </row>
    <row r="302">
      <c r="B302" s="41"/>
      <c r="C302" s="40"/>
    </row>
    <row r="303">
      <c r="B303" s="41"/>
      <c r="C303" s="40"/>
    </row>
    <row r="304">
      <c r="B304" s="41"/>
      <c r="C304" s="40"/>
    </row>
    <row r="305">
      <c r="B305" s="41"/>
      <c r="C305" s="40"/>
    </row>
    <row r="306">
      <c r="B306" s="41"/>
      <c r="C306" s="40"/>
    </row>
    <row r="307">
      <c r="B307" s="41"/>
      <c r="C307" s="40"/>
    </row>
    <row r="308">
      <c r="B308" s="41"/>
      <c r="C308" s="40"/>
    </row>
    <row r="309">
      <c r="B309" s="41"/>
      <c r="C309" s="40"/>
    </row>
    <row r="310">
      <c r="B310" s="41"/>
      <c r="C310" s="40"/>
    </row>
    <row r="311">
      <c r="B311" s="41"/>
      <c r="C311" s="40"/>
    </row>
    <row r="312">
      <c r="B312" s="41"/>
      <c r="C312" s="40"/>
    </row>
    <row r="313">
      <c r="B313" s="41"/>
      <c r="C313" s="40"/>
    </row>
    <row r="314">
      <c r="B314" s="41"/>
      <c r="C314" s="40"/>
    </row>
    <row r="315">
      <c r="B315" s="41"/>
      <c r="C315" s="40"/>
    </row>
    <row r="316">
      <c r="B316" s="41"/>
      <c r="C316" s="40"/>
    </row>
    <row r="317">
      <c r="B317" s="41"/>
      <c r="C317" s="40"/>
    </row>
    <row r="318">
      <c r="B318" s="41"/>
      <c r="C318" s="40"/>
    </row>
    <row r="319">
      <c r="B319" s="41"/>
      <c r="C319" s="40"/>
    </row>
    <row r="320">
      <c r="B320" s="41"/>
      <c r="C320" s="40"/>
    </row>
    <row r="321">
      <c r="B321" s="41"/>
      <c r="C321" s="40"/>
    </row>
    <row r="322">
      <c r="B322" s="41"/>
      <c r="C322" s="40"/>
    </row>
    <row r="323">
      <c r="B323" s="41"/>
      <c r="C323" s="40"/>
    </row>
    <row r="324">
      <c r="B324" s="41"/>
      <c r="C324" s="40"/>
    </row>
    <row r="325">
      <c r="B325" s="41"/>
      <c r="C325" s="40"/>
    </row>
    <row r="326">
      <c r="B326" s="41"/>
      <c r="C326" s="40"/>
    </row>
    <row r="327">
      <c r="B327" s="41"/>
      <c r="C327" s="40"/>
    </row>
    <row r="328">
      <c r="B328" s="41"/>
      <c r="C328" s="40"/>
    </row>
    <row r="329">
      <c r="B329" s="41"/>
      <c r="C329" s="40"/>
    </row>
    <row r="330">
      <c r="B330" s="41"/>
      <c r="C330" s="40"/>
    </row>
    <row r="331">
      <c r="B331" s="41"/>
      <c r="C331" s="40"/>
    </row>
    <row r="332">
      <c r="B332" s="41"/>
      <c r="C332" s="40"/>
    </row>
    <row r="333">
      <c r="B333" s="41"/>
      <c r="C333" s="40"/>
    </row>
    <row r="334">
      <c r="B334" s="41"/>
      <c r="C334" s="40"/>
    </row>
    <row r="335">
      <c r="B335" s="41"/>
      <c r="C335" s="40"/>
    </row>
    <row r="336">
      <c r="B336" s="41"/>
      <c r="C336" s="40"/>
    </row>
    <row r="337">
      <c r="B337" s="41"/>
      <c r="C337" s="40"/>
    </row>
    <row r="338">
      <c r="B338" s="41"/>
      <c r="C338" s="40"/>
    </row>
    <row r="339">
      <c r="B339" s="41"/>
      <c r="C339" s="40"/>
    </row>
    <row r="340">
      <c r="B340" s="41"/>
      <c r="C340" s="40"/>
    </row>
    <row r="341">
      <c r="B341" s="41"/>
      <c r="C341" s="40"/>
    </row>
    <row r="342">
      <c r="B342" s="41"/>
      <c r="C342" s="40"/>
    </row>
    <row r="343">
      <c r="B343" s="41"/>
      <c r="C343" s="40"/>
    </row>
    <row r="344">
      <c r="B344" s="41"/>
      <c r="C344" s="40"/>
    </row>
    <row r="345">
      <c r="B345" s="41"/>
      <c r="C345" s="40"/>
    </row>
    <row r="346">
      <c r="B346" s="41"/>
      <c r="C346" s="40"/>
    </row>
    <row r="347">
      <c r="B347" s="41"/>
      <c r="C347" s="40"/>
    </row>
    <row r="348">
      <c r="B348" s="41"/>
      <c r="C348" s="40"/>
    </row>
    <row r="349">
      <c r="B349" s="41"/>
      <c r="C349" s="40"/>
    </row>
    <row r="350">
      <c r="B350" s="41"/>
      <c r="C350" s="40"/>
    </row>
    <row r="351">
      <c r="B351" s="41"/>
      <c r="C351" s="40"/>
    </row>
    <row r="352">
      <c r="B352" s="41"/>
      <c r="C352" s="40"/>
    </row>
    <row r="353">
      <c r="B353" s="41"/>
      <c r="C353" s="40"/>
    </row>
    <row r="354">
      <c r="B354" s="41"/>
      <c r="C354" s="40"/>
    </row>
    <row r="355">
      <c r="B355" s="41"/>
      <c r="C355" s="40"/>
    </row>
    <row r="356">
      <c r="B356" s="41"/>
      <c r="C356" s="40"/>
    </row>
    <row r="357">
      <c r="B357" s="41"/>
      <c r="C357" s="40"/>
    </row>
    <row r="358">
      <c r="B358" s="41"/>
      <c r="C358" s="40"/>
    </row>
    <row r="359">
      <c r="B359" s="41"/>
      <c r="C359" s="40"/>
    </row>
    <row r="360">
      <c r="B360" s="41"/>
      <c r="C360" s="40"/>
    </row>
    <row r="361">
      <c r="B361" s="41"/>
      <c r="C361" s="40"/>
    </row>
    <row r="362">
      <c r="B362" s="41"/>
      <c r="C362" s="40"/>
    </row>
    <row r="363">
      <c r="B363" s="41"/>
      <c r="C363" s="40"/>
    </row>
    <row r="364">
      <c r="B364" s="41"/>
      <c r="C364" s="40"/>
    </row>
    <row r="365">
      <c r="B365" s="41"/>
      <c r="C365" s="40"/>
    </row>
    <row r="366">
      <c r="B366" s="41"/>
      <c r="C366" s="40"/>
    </row>
    <row r="367">
      <c r="B367" s="41"/>
      <c r="C367" s="40"/>
    </row>
    <row r="368">
      <c r="B368" s="41"/>
      <c r="C368" s="40"/>
    </row>
    <row r="369">
      <c r="B369" s="41"/>
      <c r="C369" s="40"/>
    </row>
    <row r="370">
      <c r="B370" s="41"/>
      <c r="C370" s="40"/>
    </row>
    <row r="371">
      <c r="B371" s="41"/>
      <c r="C371" s="40"/>
    </row>
    <row r="372">
      <c r="B372" s="41"/>
      <c r="C372" s="40"/>
    </row>
    <row r="373">
      <c r="B373" s="41"/>
      <c r="C373" s="40"/>
    </row>
    <row r="374">
      <c r="B374" s="41"/>
      <c r="C374" s="40"/>
    </row>
    <row r="375">
      <c r="B375" s="41"/>
      <c r="C375" s="40"/>
    </row>
    <row r="376">
      <c r="B376" s="41"/>
      <c r="C376" s="40"/>
    </row>
    <row r="377">
      <c r="B377" s="41"/>
      <c r="C377" s="40"/>
    </row>
    <row r="378">
      <c r="B378" s="41"/>
      <c r="C378" s="40"/>
    </row>
    <row r="379">
      <c r="B379" s="41"/>
      <c r="C379" s="40"/>
    </row>
    <row r="380">
      <c r="B380" s="41"/>
      <c r="C380" s="40"/>
    </row>
    <row r="381">
      <c r="B381" s="41"/>
      <c r="C381" s="40"/>
    </row>
    <row r="382">
      <c r="B382" s="41"/>
      <c r="C382" s="40"/>
    </row>
    <row r="383">
      <c r="B383" s="41"/>
      <c r="C383" s="40"/>
    </row>
    <row r="384">
      <c r="B384" s="41"/>
      <c r="C384" s="40"/>
    </row>
    <row r="385">
      <c r="B385" s="41"/>
      <c r="C385" s="40"/>
    </row>
    <row r="386">
      <c r="B386" s="41"/>
      <c r="C386" s="40"/>
    </row>
    <row r="387">
      <c r="B387" s="41"/>
      <c r="C387" s="40"/>
    </row>
    <row r="388">
      <c r="B388" s="41"/>
      <c r="C388" s="40"/>
    </row>
    <row r="389">
      <c r="B389" s="41"/>
      <c r="C389" s="40"/>
    </row>
    <row r="390">
      <c r="B390" s="41"/>
      <c r="C390" s="40"/>
    </row>
    <row r="391">
      <c r="B391" s="41"/>
      <c r="C391" s="40"/>
    </row>
    <row r="392">
      <c r="B392" s="41"/>
      <c r="C392" s="40"/>
    </row>
    <row r="393">
      <c r="B393" s="41"/>
      <c r="C393" s="40"/>
    </row>
    <row r="394">
      <c r="B394" s="41"/>
      <c r="C394" s="40"/>
    </row>
    <row r="395">
      <c r="B395" s="41"/>
      <c r="C395" s="40"/>
    </row>
    <row r="396">
      <c r="B396" s="41"/>
      <c r="C396" s="40"/>
    </row>
    <row r="397">
      <c r="B397" s="41"/>
      <c r="C397" s="40"/>
    </row>
    <row r="398">
      <c r="B398" s="41"/>
      <c r="C398" s="40"/>
    </row>
    <row r="399">
      <c r="B399" s="41"/>
      <c r="C399" s="40"/>
    </row>
    <row r="400">
      <c r="B400" s="41"/>
      <c r="C400" s="40"/>
    </row>
    <row r="401">
      <c r="B401" s="41"/>
      <c r="C401" s="40"/>
    </row>
    <row r="402">
      <c r="B402" s="41"/>
      <c r="C402" s="40"/>
    </row>
    <row r="403">
      <c r="B403" s="41"/>
      <c r="C403" s="40"/>
    </row>
    <row r="404">
      <c r="B404" s="41"/>
      <c r="C404" s="40"/>
    </row>
    <row r="405">
      <c r="B405" s="41"/>
      <c r="C405" s="40"/>
    </row>
    <row r="406">
      <c r="B406" s="41"/>
      <c r="C406" s="40"/>
    </row>
    <row r="407">
      <c r="B407" s="41"/>
      <c r="C407" s="40"/>
    </row>
    <row r="408">
      <c r="B408" s="41"/>
      <c r="C408" s="40"/>
    </row>
    <row r="409">
      <c r="B409" s="41"/>
      <c r="C409" s="40"/>
    </row>
    <row r="410">
      <c r="B410" s="41"/>
      <c r="C410" s="40"/>
    </row>
    <row r="411">
      <c r="B411" s="41"/>
      <c r="C411" s="40"/>
    </row>
    <row r="412">
      <c r="B412" s="41"/>
      <c r="C412" s="40"/>
    </row>
    <row r="413">
      <c r="B413" s="41"/>
      <c r="C413" s="40"/>
    </row>
    <row r="414">
      <c r="B414" s="41"/>
      <c r="C414" s="40"/>
    </row>
    <row r="415">
      <c r="B415" s="41"/>
      <c r="C415" s="40"/>
    </row>
    <row r="416">
      <c r="B416" s="41"/>
      <c r="C416" s="40"/>
    </row>
    <row r="417">
      <c r="B417" s="41"/>
      <c r="C417" s="40"/>
    </row>
    <row r="418">
      <c r="B418" s="41"/>
      <c r="C418" s="40"/>
    </row>
    <row r="419">
      <c r="B419" s="41"/>
      <c r="C419" s="40"/>
    </row>
    <row r="420">
      <c r="B420" s="41"/>
      <c r="C420" s="40"/>
    </row>
    <row r="421">
      <c r="B421" s="41"/>
      <c r="C421" s="40"/>
    </row>
    <row r="422">
      <c r="B422" s="41"/>
      <c r="C422" s="40"/>
    </row>
    <row r="423">
      <c r="B423" s="41"/>
      <c r="C423" s="40"/>
    </row>
    <row r="424">
      <c r="B424" s="41"/>
      <c r="C424" s="40"/>
    </row>
    <row r="425">
      <c r="B425" s="41"/>
      <c r="C425" s="40"/>
    </row>
    <row r="426">
      <c r="B426" s="41"/>
      <c r="C426" s="40"/>
    </row>
    <row r="427">
      <c r="B427" s="41"/>
      <c r="C427" s="40"/>
    </row>
    <row r="428">
      <c r="B428" s="41"/>
      <c r="C428" s="40"/>
    </row>
    <row r="429">
      <c r="B429" s="41"/>
      <c r="C429" s="40"/>
    </row>
    <row r="430">
      <c r="B430" s="41"/>
      <c r="C430" s="40"/>
    </row>
    <row r="431">
      <c r="B431" s="41"/>
      <c r="C431" s="40"/>
    </row>
    <row r="432">
      <c r="B432" s="41"/>
      <c r="C432" s="40"/>
    </row>
    <row r="433">
      <c r="B433" s="41"/>
      <c r="C433" s="40"/>
    </row>
    <row r="434">
      <c r="B434" s="41"/>
      <c r="C434" s="40"/>
    </row>
    <row r="435">
      <c r="B435" s="41"/>
      <c r="C435" s="40"/>
    </row>
    <row r="436">
      <c r="B436" s="41"/>
      <c r="C436" s="40"/>
    </row>
    <row r="437">
      <c r="B437" s="41"/>
      <c r="C437" s="40"/>
    </row>
    <row r="438">
      <c r="B438" s="41"/>
      <c r="C438" s="40"/>
    </row>
    <row r="439">
      <c r="B439" s="41"/>
      <c r="C439" s="40"/>
    </row>
    <row r="440">
      <c r="B440" s="41"/>
      <c r="C440" s="40"/>
    </row>
    <row r="441">
      <c r="B441" s="41"/>
      <c r="C441" s="40"/>
    </row>
    <row r="442">
      <c r="B442" s="41"/>
      <c r="C442" s="40"/>
    </row>
    <row r="443">
      <c r="B443" s="41"/>
      <c r="C443" s="40"/>
    </row>
    <row r="444">
      <c r="B444" s="41"/>
      <c r="C444" s="40"/>
    </row>
    <row r="445">
      <c r="B445" s="41"/>
      <c r="C445" s="40"/>
    </row>
    <row r="446">
      <c r="B446" s="41"/>
      <c r="C446" s="40"/>
    </row>
    <row r="447">
      <c r="B447" s="41"/>
      <c r="C447" s="40"/>
    </row>
    <row r="448">
      <c r="B448" s="41"/>
      <c r="C448" s="40"/>
    </row>
    <row r="449">
      <c r="B449" s="41"/>
      <c r="C449" s="40"/>
    </row>
    <row r="450">
      <c r="B450" s="41"/>
      <c r="C450" s="40"/>
    </row>
    <row r="451">
      <c r="B451" s="41"/>
      <c r="C451" s="40"/>
    </row>
    <row r="452">
      <c r="B452" s="41"/>
      <c r="C452" s="40"/>
    </row>
    <row r="453">
      <c r="B453" s="41"/>
      <c r="C453" s="40"/>
    </row>
    <row r="454">
      <c r="B454" s="41"/>
      <c r="C454" s="40"/>
    </row>
    <row r="455">
      <c r="B455" s="41"/>
      <c r="C455" s="40"/>
    </row>
    <row r="456">
      <c r="B456" s="41"/>
      <c r="C456" s="40"/>
    </row>
    <row r="457">
      <c r="B457" s="41"/>
      <c r="C457" s="40"/>
    </row>
    <row r="458">
      <c r="B458" s="41"/>
      <c r="C458" s="40"/>
    </row>
    <row r="459">
      <c r="B459" s="41"/>
      <c r="C459" s="40"/>
    </row>
    <row r="460">
      <c r="B460" s="41"/>
      <c r="C460" s="40"/>
    </row>
    <row r="461">
      <c r="B461" s="41"/>
      <c r="C461" s="40"/>
    </row>
    <row r="462">
      <c r="B462" s="41"/>
      <c r="C462" s="40"/>
    </row>
    <row r="463">
      <c r="B463" s="41"/>
      <c r="C463" s="40"/>
    </row>
    <row r="464">
      <c r="B464" s="41"/>
      <c r="C464" s="40"/>
    </row>
    <row r="465">
      <c r="B465" s="41"/>
      <c r="C465" s="40"/>
    </row>
    <row r="466">
      <c r="B466" s="41"/>
      <c r="C466" s="40"/>
    </row>
    <row r="467">
      <c r="B467" s="41"/>
      <c r="C467" s="40"/>
    </row>
    <row r="468">
      <c r="B468" s="41"/>
      <c r="C468" s="40"/>
    </row>
    <row r="469">
      <c r="B469" s="41"/>
      <c r="C469" s="40"/>
    </row>
    <row r="470">
      <c r="B470" s="41"/>
      <c r="C470" s="40"/>
    </row>
    <row r="471">
      <c r="B471" s="41"/>
      <c r="C471" s="40"/>
    </row>
    <row r="472">
      <c r="B472" s="41"/>
      <c r="C472" s="40"/>
    </row>
    <row r="473">
      <c r="B473" s="41"/>
      <c r="C473" s="40"/>
    </row>
    <row r="474">
      <c r="B474" s="41"/>
      <c r="C474" s="40"/>
    </row>
    <row r="475">
      <c r="B475" s="41"/>
      <c r="C475" s="40"/>
    </row>
    <row r="476">
      <c r="B476" s="41"/>
      <c r="C476" s="40"/>
    </row>
    <row r="477">
      <c r="B477" s="41"/>
      <c r="C477" s="40"/>
    </row>
    <row r="478">
      <c r="B478" s="41"/>
      <c r="C478" s="40"/>
    </row>
    <row r="479">
      <c r="B479" s="41"/>
      <c r="C479" s="40"/>
    </row>
    <row r="480">
      <c r="B480" s="41"/>
      <c r="C480" s="40"/>
    </row>
    <row r="481">
      <c r="B481" s="41"/>
      <c r="C481" s="40"/>
    </row>
    <row r="482">
      <c r="B482" s="41"/>
      <c r="C482" s="40"/>
    </row>
    <row r="483">
      <c r="B483" s="41"/>
      <c r="C483" s="40"/>
    </row>
    <row r="484">
      <c r="B484" s="41"/>
      <c r="C484" s="40"/>
    </row>
    <row r="485">
      <c r="B485" s="41"/>
      <c r="C485" s="40"/>
    </row>
    <row r="486">
      <c r="B486" s="41"/>
      <c r="C486" s="40"/>
    </row>
    <row r="487">
      <c r="B487" s="41"/>
      <c r="C487" s="40"/>
    </row>
    <row r="488">
      <c r="B488" s="41"/>
      <c r="C488" s="40"/>
    </row>
    <row r="489">
      <c r="B489" s="41"/>
      <c r="C489" s="40"/>
    </row>
    <row r="490">
      <c r="B490" s="41"/>
      <c r="C490" s="40"/>
    </row>
    <row r="491">
      <c r="B491" s="41"/>
      <c r="C491" s="40"/>
    </row>
    <row r="492">
      <c r="B492" s="41"/>
      <c r="C492" s="40"/>
    </row>
    <row r="493">
      <c r="B493" s="41"/>
      <c r="C493" s="40"/>
    </row>
    <row r="494">
      <c r="B494" s="41"/>
      <c r="C494" s="40"/>
    </row>
    <row r="495">
      <c r="B495" s="41"/>
      <c r="C495" s="40"/>
    </row>
    <row r="496">
      <c r="B496" s="41"/>
      <c r="C496" s="40"/>
    </row>
    <row r="497">
      <c r="B497" s="41"/>
      <c r="C497" s="40"/>
    </row>
    <row r="498">
      <c r="B498" s="41"/>
      <c r="C498" s="40"/>
    </row>
    <row r="499">
      <c r="B499" s="41"/>
      <c r="C499" s="40"/>
    </row>
    <row r="500">
      <c r="B500" s="41"/>
      <c r="C500" s="40"/>
    </row>
    <row r="501">
      <c r="B501" s="41"/>
      <c r="C501" s="40"/>
    </row>
    <row r="502">
      <c r="B502" s="41"/>
      <c r="C502" s="40"/>
    </row>
    <row r="503">
      <c r="B503" s="41"/>
      <c r="C503" s="40"/>
    </row>
    <row r="504">
      <c r="B504" s="41"/>
      <c r="C504" s="40"/>
    </row>
    <row r="505">
      <c r="B505" s="41"/>
      <c r="C505" s="40"/>
    </row>
    <row r="506">
      <c r="B506" s="41"/>
      <c r="C506" s="40"/>
    </row>
    <row r="507">
      <c r="B507" s="41"/>
      <c r="C507" s="40"/>
    </row>
    <row r="508">
      <c r="B508" s="41"/>
      <c r="C508" s="40"/>
    </row>
    <row r="509">
      <c r="B509" s="41"/>
      <c r="C509" s="40"/>
    </row>
    <row r="510">
      <c r="B510" s="41"/>
      <c r="C510" s="40"/>
    </row>
    <row r="511">
      <c r="B511" s="41"/>
      <c r="C511" s="40"/>
    </row>
    <row r="512">
      <c r="B512" s="41"/>
      <c r="C512" s="40"/>
    </row>
    <row r="513">
      <c r="B513" s="41"/>
      <c r="C513" s="40"/>
    </row>
    <row r="514">
      <c r="B514" s="41"/>
      <c r="C514" s="40"/>
    </row>
    <row r="515">
      <c r="B515" s="41"/>
      <c r="C515" s="40"/>
    </row>
    <row r="516">
      <c r="B516" s="41"/>
      <c r="C516" s="40"/>
    </row>
    <row r="517">
      <c r="B517" s="41"/>
      <c r="C517" s="40"/>
    </row>
    <row r="518">
      <c r="B518" s="41"/>
      <c r="C518" s="40"/>
    </row>
    <row r="519">
      <c r="B519" s="41"/>
      <c r="C519" s="40"/>
    </row>
    <row r="520">
      <c r="B520" s="41"/>
      <c r="C520" s="40"/>
    </row>
    <row r="521">
      <c r="B521" s="41"/>
      <c r="C521" s="40"/>
    </row>
    <row r="522">
      <c r="B522" s="41"/>
      <c r="C522" s="40"/>
    </row>
    <row r="523">
      <c r="B523" s="41"/>
      <c r="C523" s="40"/>
    </row>
    <row r="524">
      <c r="B524" s="41"/>
      <c r="C524" s="40"/>
    </row>
    <row r="525">
      <c r="B525" s="41"/>
      <c r="C525" s="40"/>
    </row>
    <row r="526">
      <c r="B526" s="41"/>
      <c r="C526" s="40"/>
    </row>
    <row r="527">
      <c r="B527" s="41"/>
      <c r="C527" s="40"/>
    </row>
    <row r="528">
      <c r="B528" s="41"/>
      <c r="C528" s="40"/>
    </row>
    <row r="529">
      <c r="B529" s="41"/>
      <c r="C529" s="40"/>
    </row>
    <row r="530">
      <c r="B530" s="41"/>
      <c r="C530" s="40"/>
    </row>
    <row r="531">
      <c r="B531" s="41"/>
      <c r="C531" s="40"/>
    </row>
    <row r="532">
      <c r="B532" s="41"/>
      <c r="C532" s="40"/>
    </row>
    <row r="533">
      <c r="B533" s="41"/>
      <c r="C533" s="40"/>
    </row>
    <row r="534">
      <c r="B534" s="41"/>
      <c r="C534" s="40"/>
    </row>
    <row r="535">
      <c r="B535" s="41"/>
      <c r="C535" s="40"/>
    </row>
    <row r="536">
      <c r="B536" s="41"/>
      <c r="C536" s="40"/>
    </row>
    <row r="537">
      <c r="B537" s="41"/>
      <c r="C537" s="40"/>
    </row>
    <row r="538">
      <c r="B538" s="41"/>
      <c r="C538" s="40"/>
    </row>
    <row r="539">
      <c r="B539" s="41"/>
      <c r="C539" s="40"/>
    </row>
    <row r="540">
      <c r="B540" s="41"/>
      <c r="C540" s="40"/>
    </row>
    <row r="541">
      <c r="B541" s="41"/>
      <c r="C541" s="40"/>
    </row>
    <row r="542">
      <c r="B542" s="41"/>
      <c r="C542" s="40"/>
    </row>
    <row r="543">
      <c r="B543" s="41"/>
      <c r="C543" s="40"/>
    </row>
    <row r="544">
      <c r="B544" s="41"/>
      <c r="C544" s="40"/>
    </row>
    <row r="545">
      <c r="B545" s="41"/>
      <c r="C545" s="40"/>
    </row>
    <row r="546">
      <c r="B546" s="41"/>
      <c r="C546" s="40"/>
    </row>
    <row r="547">
      <c r="B547" s="41"/>
      <c r="C547" s="40"/>
    </row>
    <row r="548">
      <c r="B548" s="41"/>
      <c r="C548" s="40"/>
    </row>
    <row r="549">
      <c r="B549" s="41"/>
      <c r="C549" s="40"/>
    </row>
    <row r="550">
      <c r="B550" s="41"/>
      <c r="C550" s="40"/>
    </row>
    <row r="551">
      <c r="B551" s="41"/>
      <c r="C551" s="40"/>
    </row>
    <row r="552">
      <c r="B552" s="41"/>
      <c r="C552" s="40"/>
    </row>
    <row r="553">
      <c r="B553" s="41"/>
      <c r="C553" s="40"/>
    </row>
    <row r="554">
      <c r="B554" s="41"/>
      <c r="C554" s="40"/>
    </row>
    <row r="555">
      <c r="B555" s="41"/>
      <c r="C555" s="40"/>
    </row>
    <row r="556">
      <c r="B556" s="41"/>
      <c r="C556" s="40"/>
    </row>
    <row r="557">
      <c r="B557" s="41"/>
      <c r="C557" s="40"/>
    </row>
    <row r="558">
      <c r="B558" s="41"/>
      <c r="C558" s="40"/>
    </row>
    <row r="559">
      <c r="B559" s="41"/>
      <c r="C559" s="40"/>
    </row>
    <row r="560">
      <c r="B560" s="41"/>
      <c r="C560" s="40"/>
    </row>
    <row r="561">
      <c r="B561" s="41"/>
      <c r="C561" s="40"/>
    </row>
    <row r="562">
      <c r="B562" s="41"/>
      <c r="C562" s="40"/>
    </row>
    <row r="563">
      <c r="B563" s="41"/>
      <c r="C563" s="40"/>
    </row>
    <row r="564">
      <c r="B564" s="41"/>
      <c r="C564" s="40"/>
    </row>
    <row r="565">
      <c r="B565" s="41"/>
      <c r="C565" s="40"/>
    </row>
    <row r="566">
      <c r="B566" s="41"/>
      <c r="C566" s="40"/>
    </row>
    <row r="567">
      <c r="B567" s="41"/>
      <c r="C567" s="40"/>
    </row>
    <row r="568">
      <c r="B568" s="41"/>
      <c r="C568" s="40"/>
    </row>
    <row r="569">
      <c r="B569" s="41"/>
      <c r="C569" s="40"/>
    </row>
    <row r="570">
      <c r="B570" s="41"/>
      <c r="C570" s="40"/>
    </row>
    <row r="571">
      <c r="B571" s="41"/>
      <c r="C571" s="40"/>
    </row>
    <row r="572">
      <c r="B572" s="41"/>
      <c r="C572" s="40"/>
    </row>
    <row r="573">
      <c r="B573" s="41"/>
      <c r="C573" s="40"/>
    </row>
    <row r="574">
      <c r="B574" s="41"/>
      <c r="C574" s="40"/>
    </row>
    <row r="575">
      <c r="B575" s="41"/>
      <c r="C575" s="40"/>
    </row>
    <row r="576">
      <c r="B576" s="41"/>
      <c r="C576" s="40"/>
    </row>
    <row r="577">
      <c r="B577" s="41"/>
      <c r="C577" s="40"/>
    </row>
    <row r="578">
      <c r="B578" s="41"/>
      <c r="C578" s="40"/>
    </row>
    <row r="579">
      <c r="B579" s="41"/>
      <c r="C579" s="40"/>
    </row>
    <row r="580">
      <c r="B580" s="41"/>
      <c r="C580" s="40"/>
    </row>
    <row r="581">
      <c r="B581" s="41"/>
      <c r="C581" s="40"/>
    </row>
    <row r="582">
      <c r="B582" s="41"/>
      <c r="C582" s="40"/>
    </row>
    <row r="583">
      <c r="B583" s="41"/>
      <c r="C583" s="40"/>
    </row>
    <row r="584">
      <c r="B584" s="41"/>
      <c r="C584" s="40"/>
    </row>
    <row r="585">
      <c r="B585" s="41"/>
      <c r="C585" s="40"/>
    </row>
    <row r="586">
      <c r="B586" s="41"/>
      <c r="C586" s="40"/>
    </row>
    <row r="587">
      <c r="B587" s="41"/>
      <c r="C587" s="40"/>
    </row>
    <row r="588">
      <c r="B588" s="41"/>
      <c r="C588" s="40"/>
    </row>
    <row r="589">
      <c r="B589" s="41"/>
      <c r="C589" s="40"/>
    </row>
    <row r="590">
      <c r="B590" s="41"/>
      <c r="C590" s="40"/>
    </row>
    <row r="591">
      <c r="B591" s="41"/>
      <c r="C591" s="40"/>
    </row>
    <row r="592">
      <c r="B592" s="41"/>
      <c r="C592" s="40"/>
    </row>
    <row r="593">
      <c r="B593" s="41"/>
      <c r="C593" s="40"/>
    </row>
    <row r="594">
      <c r="B594" s="41"/>
      <c r="C594" s="40"/>
    </row>
    <row r="595">
      <c r="B595" s="41"/>
      <c r="C595" s="40"/>
    </row>
    <row r="596">
      <c r="B596" s="41"/>
      <c r="C596" s="40"/>
    </row>
    <row r="597">
      <c r="B597" s="41"/>
      <c r="C597" s="40"/>
    </row>
    <row r="598">
      <c r="B598" s="41"/>
      <c r="C598" s="40"/>
    </row>
    <row r="599">
      <c r="B599" s="41"/>
      <c r="C599" s="40"/>
    </row>
    <row r="600">
      <c r="B600" s="41"/>
      <c r="C600" s="40"/>
    </row>
    <row r="601">
      <c r="B601" s="41"/>
      <c r="C601" s="40"/>
    </row>
    <row r="602">
      <c r="B602" s="41"/>
      <c r="C602" s="40"/>
    </row>
    <row r="603">
      <c r="B603" s="41"/>
      <c r="C603" s="40"/>
    </row>
    <row r="604">
      <c r="B604" s="41"/>
      <c r="C604" s="40"/>
    </row>
    <row r="605">
      <c r="B605" s="41"/>
      <c r="C605" s="40"/>
    </row>
    <row r="606">
      <c r="B606" s="41"/>
      <c r="C606" s="40"/>
    </row>
    <row r="607">
      <c r="B607" s="41"/>
      <c r="C607" s="40"/>
    </row>
    <row r="608">
      <c r="B608" s="41"/>
      <c r="C608" s="40"/>
    </row>
    <row r="609">
      <c r="B609" s="41"/>
      <c r="C609" s="40"/>
    </row>
    <row r="610">
      <c r="B610" s="41"/>
      <c r="C610" s="40"/>
    </row>
    <row r="611">
      <c r="B611" s="41"/>
      <c r="C611" s="40"/>
    </row>
    <row r="612">
      <c r="B612" s="41"/>
      <c r="C612" s="40"/>
    </row>
    <row r="613">
      <c r="B613" s="41"/>
      <c r="C613" s="40"/>
    </row>
    <row r="614">
      <c r="B614" s="41"/>
      <c r="C614" s="40"/>
    </row>
    <row r="615">
      <c r="B615" s="41"/>
      <c r="C615" s="40"/>
    </row>
    <row r="616">
      <c r="B616" s="41"/>
      <c r="C616" s="40"/>
    </row>
    <row r="617">
      <c r="B617" s="41"/>
      <c r="C617" s="40"/>
    </row>
    <row r="618">
      <c r="B618" s="41"/>
      <c r="C618" s="40"/>
    </row>
    <row r="619">
      <c r="B619" s="41"/>
      <c r="C619" s="40"/>
    </row>
    <row r="620">
      <c r="B620" s="41"/>
      <c r="C620" s="40"/>
    </row>
    <row r="621">
      <c r="B621" s="41"/>
      <c r="C621" s="40"/>
    </row>
    <row r="622">
      <c r="B622" s="41"/>
      <c r="C622" s="40"/>
    </row>
    <row r="623">
      <c r="B623" s="41"/>
      <c r="C623" s="40"/>
    </row>
    <row r="624">
      <c r="B624" s="41"/>
      <c r="C624" s="40"/>
    </row>
    <row r="625">
      <c r="B625" s="41"/>
      <c r="C625" s="40"/>
    </row>
    <row r="626">
      <c r="B626" s="41"/>
      <c r="C626" s="40"/>
    </row>
    <row r="627">
      <c r="B627" s="41"/>
      <c r="C627" s="40"/>
    </row>
    <row r="628">
      <c r="B628" s="41"/>
      <c r="C628" s="40"/>
    </row>
    <row r="629">
      <c r="B629" s="41"/>
      <c r="C629" s="40"/>
    </row>
    <row r="630">
      <c r="B630" s="41"/>
      <c r="C630" s="40"/>
    </row>
    <row r="631">
      <c r="B631" s="41"/>
      <c r="C631" s="40"/>
    </row>
    <row r="632">
      <c r="B632" s="41"/>
      <c r="C632" s="40"/>
    </row>
    <row r="633">
      <c r="B633" s="41"/>
      <c r="C633" s="40"/>
    </row>
    <row r="634">
      <c r="B634" s="41"/>
      <c r="C634" s="40"/>
    </row>
    <row r="635">
      <c r="B635" s="41"/>
      <c r="C635" s="40"/>
    </row>
    <row r="636">
      <c r="B636" s="41"/>
      <c r="C636" s="40"/>
    </row>
    <row r="637">
      <c r="B637" s="41"/>
      <c r="C637" s="40"/>
    </row>
    <row r="638">
      <c r="B638" s="41"/>
      <c r="C638" s="40"/>
    </row>
    <row r="639">
      <c r="B639" s="41"/>
      <c r="C639" s="40"/>
    </row>
    <row r="640">
      <c r="B640" s="41"/>
      <c r="C640" s="40"/>
    </row>
    <row r="641">
      <c r="B641" s="41"/>
      <c r="C641" s="40"/>
    </row>
    <row r="642">
      <c r="B642" s="41"/>
      <c r="C642" s="40"/>
    </row>
    <row r="643">
      <c r="B643" s="41"/>
      <c r="C643" s="40"/>
    </row>
    <row r="644">
      <c r="B644" s="41"/>
      <c r="C644" s="40"/>
    </row>
    <row r="645">
      <c r="B645" s="41"/>
      <c r="C645" s="40"/>
    </row>
    <row r="646">
      <c r="B646" s="41"/>
      <c r="C646" s="40"/>
    </row>
    <row r="647">
      <c r="B647" s="41"/>
      <c r="C647" s="40"/>
    </row>
    <row r="648">
      <c r="B648" s="41"/>
      <c r="C648" s="40"/>
    </row>
    <row r="649">
      <c r="B649" s="41"/>
      <c r="C649" s="40"/>
    </row>
    <row r="650">
      <c r="B650" s="41"/>
      <c r="C650" s="40"/>
    </row>
    <row r="651">
      <c r="B651" s="41"/>
      <c r="C651" s="40"/>
    </row>
    <row r="652">
      <c r="B652" s="41"/>
      <c r="C652" s="40"/>
    </row>
    <row r="653">
      <c r="B653" s="41"/>
      <c r="C653" s="40"/>
    </row>
    <row r="654">
      <c r="B654" s="41"/>
      <c r="C654" s="40"/>
    </row>
    <row r="655">
      <c r="B655" s="41"/>
      <c r="C655" s="40"/>
    </row>
    <row r="656">
      <c r="B656" s="41"/>
      <c r="C656" s="40"/>
    </row>
    <row r="657">
      <c r="B657" s="41"/>
      <c r="C657" s="40"/>
    </row>
    <row r="658">
      <c r="B658" s="41"/>
      <c r="C658" s="40"/>
    </row>
    <row r="659">
      <c r="B659" s="41"/>
      <c r="C659" s="40"/>
    </row>
    <row r="660">
      <c r="B660" s="41"/>
      <c r="C660" s="40"/>
    </row>
    <row r="661">
      <c r="B661" s="41"/>
      <c r="C661" s="40"/>
    </row>
    <row r="662">
      <c r="B662" s="41"/>
      <c r="C662" s="40"/>
    </row>
    <row r="663">
      <c r="B663" s="41"/>
      <c r="C663" s="40"/>
    </row>
    <row r="664">
      <c r="B664" s="41"/>
      <c r="C664" s="40"/>
    </row>
    <row r="665">
      <c r="B665" s="41"/>
      <c r="C665" s="40"/>
    </row>
    <row r="666">
      <c r="B666" s="41"/>
      <c r="C666" s="40"/>
    </row>
    <row r="667">
      <c r="B667" s="41"/>
      <c r="C667" s="40"/>
    </row>
    <row r="668">
      <c r="B668" s="41"/>
      <c r="C668" s="40"/>
    </row>
    <row r="669">
      <c r="B669" s="41"/>
      <c r="C669" s="40"/>
    </row>
    <row r="670">
      <c r="B670" s="41"/>
      <c r="C670" s="40"/>
    </row>
    <row r="671">
      <c r="B671" s="41"/>
      <c r="C671" s="40"/>
    </row>
    <row r="672">
      <c r="B672" s="41"/>
      <c r="C672" s="40"/>
    </row>
    <row r="673">
      <c r="B673" s="41"/>
      <c r="C673" s="40"/>
    </row>
    <row r="674">
      <c r="B674" s="41"/>
      <c r="C674" s="40"/>
    </row>
    <row r="675">
      <c r="B675" s="41"/>
      <c r="C675" s="40"/>
    </row>
    <row r="676">
      <c r="B676" s="41"/>
      <c r="C676" s="40"/>
    </row>
    <row r="677">
      <c r="B677" s="41"/>
      <c r="C677" s="40"/>
    </row>
    <row r="678">
      <c r="B678" s="41"/>
      <c r="C678" s="40"/>
    </row>
    <row r="679">
      <c r="B679" s="41"/>
      <c r="C679" s="40"/>
    </row>
    <row r="680">
      <c r="B680" s="41"/>
      <c r="C680" s="40"/>
    </row>
    <row r="681">
      <c r="B681" s="41"/>
      <c r="C681" s="40"/>
    </row>
    <row r="682">
      <c r="B682" s="41"/>
      <c r="C682" s="40"/>
    </row>
    <row r="683">
      <c r="B683" s="41"/>
      <c r="C683" s="40"/>
    </row>
    <row r="684">
      <c r="B684" s="41"/>
      <c r="C684" s="40"/>
    </row>
    <row r="685">
      <c r="B685" s="41"/>
      <c r="C685" s="40"/>
    </row>
    <row r="686">
      <c r="B686" s="41"/>
      <c r="C686" s="40"/>
    </row>
    <row r="687">
      <c r="B687" s="41"/>
      <c r="C687" s="40"/>
    </row>
    <row r="688">
      <c r="B688" s="41"/>
      <c r="C688" s="40"/>
    </row>
    <row r="689">
      <c r="B689" s="41"/>
      <c r="C689" s="40"/>
    </row>
    <row r="690">
      <c r="B690" s="41"/>
      <c r="C690" s="40"/>
    </row>
    <row r="691">
      <c r="B691" s="41"/>
      <c r="C691" s="40"/>
    </row>
    <row r="692">
      <c r="B692" s="41"/>
      <c r="C692" s="40"/>
    </row>
    <row r="693">
      <c r="B693" s="41"/>
      <c r="C693" s="40"/>
    </row>
    <row r="694">
      <c r="B694" s="41"/>
      <c r="C694" s="40"/>
    </row>
    <row r="695">
      <c r="B695" s="41"/>
      <c r="C695" s="40"/>
    </row>
    <row r="696">
      <c r="B696" s="41"/>
      <c r="C696" s="40"/>
    </row>
    <row r="697">
      <c r="B697" s="41"/>
      <c r="C697" s="40"/>
    </row>
    <row r="698">
      <c r="B698" s="41"/>
      <c r="C698" s="40"/>
    </row>
    <row r="699">
      <c r="B699" s="41"/>
      <c r="C699" s="40"/>
    </row>
    <row r="700">
      <c r="B700" s="41"/>
      <c r="C700" s="40"/>
    </row>
    <row r="701">
      <c r="B701" s="41"/>
      <c r="C701" s="40"/>
    </row>
    <row r="702">
      <c r="B702" s="41"/>
      <c r="C702" s="40"/>
    </row>
    <row r="703">
      <c r="B703" s="41"/>
      <c r="C703" s="40"/>
    </row>
    <row r="704">
      <c r="B704" s="41"/>
      <c r="C704" s="40"/>
    </row>
    <row r="705">
      <c r="B705" s="41"/>
      <c r="C705" s="40"/>
    </row>
    <row r="706">
      <c r="B706" s="41"/>
      <c r="C706" s="40"/>
    </row>
    <row r="707">
      <c r="B707" s="41"/>
      <c r="C707" s="40"/>
    </row>
    <row r="708">
      <c r="B708" s="41"/>
      <c r="C708" s="40"/>
    </row>
    <row r="709">
      <c r="B709" s="41"/>
      <c r="C709" s="40"/>
    </row>
    <row r="710">
      <c r="B710" s="41"/>
      <c r="C710" s="40"/>
    </row>
    <row r="711">
      <c r="B711" s="41"/>
      <c r="C711" s="40"/>
    </row>
    <row r="712">
      <c r="B712" s="41"/>
      <c r="C712" s="40"/>
    </row>
    <row r="713">
      <c r="B713" s="41"/>
      <c r="C713" s="40"/>
    </row>
    <row r="714">
      <c r="B714" s="41"/>
      <c r="C714" s="40"/>
    </row>
    <row r="715">
      <c r="B715" s="41"/>
      <c r="C715" s="40"/>
    </row>
    <row r="716">
      <c r="B716" s="41"/>
      <c r="C716" s="40"/>
    </row>
    <row r="717">
      <c r="B717" s="41"/>
      <c r="C717" s="40"/>
    </row>
    <row r="718">
      <c r="B718" s="41"/>
      <c r="C718" s="40"/>
    </row>
    <row r="719">
      <c r="B719" s="41"/>
      <c r="C719" s="40"/>
    </row>
    <row r="720">
      <c r="B720" s="41"/>
      <c r="C720" s="40"/>
    </row>
    <row r="721">
      <c r="B721" s="41"/>
      <c r="C721" s="40"/>
    </row>
    <row r="722">
      <c r="B722" s="41"/>
      <c r="C722" s="40"/>
    </row>
    <row r="723">
      <c r="B723" s="41"/>
      <c r="C723" s="40"/>
    </row>
    <row r="724">
      <c r="B724" s="41"/>
      <c r="C724" s="40"/>
    </row>
    <row r="725">
      <c r="B725" s="41"/>
      <c r="C725" s="40"/>
    </row>
    <row r="726">
      <c r="B726" s="41"/>
      <c r="C726" s="40"/>
    </row>
    <row r="727">
      <c r="B727" s="41"/>
      <c r="C727" s="40"/>
    </row>
    <row r="728">
      <c r="B728" s="41"/>
      <c r="C728" s="40"/>
    </row>
    <row r="729">
      <c r="B729" s="41"/>
      <c r="C729" s="40"/>
    </row>
    <row r="730">
      <c r="B730" s="41"/>
      <c r="C730" s="40"/>
    </row>
    <row r="731">
      <c r="B731" s="41"/>
      <c r="C731" s="40"/>
    </row>
    <row r="732">
      <c r="B732" s="41"/>
      <c r="C732" s="40"/>
    </row>
    <row r="733">
      <c r="B733" s="41"/>
      <c r="C733" s="40"/>
    </row>
    <row r="734">
      <c r="B734" s="41"/>
      <c r="C734" s="40"/>
    </row>
    <row r="735">
      <c r="B735" s="41"/>
      <c r="C735" s="40"/>
    </row>
    <row r="736">
      <c r="B736" s="41"/>
      <c r="C736" s="40"/>
    </row>
    <row r="737">
      <c r="B737" s="41"/>
      <c r="C737" s="40"/>
    </row>
    <row r="738">
      <c r="B738" s="41"/>
      <c r="C738" s="40"/>
    </row>
    <row r="739">
      <c r="B739" s="41"/>
      <c r="C739" s="40"/>
    </row>
    <row r="740">
      <c r="B740" s="41"/>
      <c r="C740" s="40"/>
    </row>
    <row r="741">
      <c r="B741" s="41"/>
      <c r="C741" s="40"/>
    </row>
    <row r="742">
      <c r="B742" s="41"/>
      <c r="C742" s="40"/>
    </row>
    <row r="743">
      <c r="B743" s="41"/>
      <c r="C743" s="40"/>
    </row>
    <row r="744">
      <c r="B744" s="41"/>
      <c r="C744" s="40"/>
    </row>
    <row r="745">
      <c r="B745" s="41"/>
      <c r="C745" s="40"/>
    </row>
    <row r="746">
      <c r="B746" s="41"/>
      <c r="C746" s="40"/>
    </row>
    <row r="747">
      <c r="B747" s="41"/>
      <c r="C747" s="40"/>
    </row>
    <row r="748">
      <c r="B748" s="41"/>
      <c r="C748" s="40"/>
    </row>
    <row r="749">
      <c r="B749" s="41"/>
      <c r="C749" s="40"/>
    </row>
    <row r="750">
      <c r="B750" s="41"/>
      <c r="C750" s="40"/>
    </row>
    <row r="751">
      <c r="B751" s="41"/>
      <c r="C751" s="40"/>
    </row>
    <row r="752">
      <c r="B752" s="41"/>
      <c r="C752" s="40"/>
    </row>
    <row r="753">
      <c r="B753" s="41"/>
      <c r="C753" s="40"/>
    </row>
    <row r="754">
      <c r="B754" s="41"/>
      <c r="C754" s="40"/>
    </row>
    <row r="755">
      <c r="B755" s="41"/>
      <c r="C755" s="40"/>
    </row>
    <row r="756">
      <c r="B756" s="41"/>
      <c r="C756" s="40"/>
    </row>
    <row r="757">
      <c r="B757" s="41"/>
      <c r="C757" s="40"/>
    </row>
    <row r="758">
      <c r="B758" s="41"/>
      <c r="C758" s="40"/>
    </row>
    <row r="759">
      <c r="B759" s="41"/>
      <c r="C759" s="40"/>
    </row>
    <row r="760">
      <c r="B760" s="41"/>
      <c r="C760" s="40"/>
    </row>
    <row r="761">
      <c r="B761" s="41"/>
      <c r="C761" s="40"/>
    </row>
    <row r="762">
      <c r="B762" s="41"/>
      <c r="C762" s="40"/>
    </row>
    <row r="763">
      <c r="B763" s="41"/>
      <c r="C763" s="40"/>
    </row>
    <row r="764">
      <c r="B764" s="41"/>
      <c r="C764" s="40"/>
    </row>
    <row r="765">
      <c r="B765" s="41"/>
      <c r="C765" s="40"/>
    </row>
    <row r="766">
      <c r="B766" s="41"/>
      <c r="C766" s="40"/>
    </row>
    <row r="767">
      <c r="B767" s="41"/>
      <c r="C767" s="40"/>
    </row>
    <row r="768">
      <c r="B768" s="41"/>
      <c r="C768" s="40"/>
    </row>
    <row r="769">
      <c r="B769" s="41"/>
      <c r="C769" s="40"/>
    </row>
    <row r="770">
      <c r="B770" s="41"/>
      <c r="C770" s="40"/>
    </row>
    <row r="771">
      <c r="B771" s="41"/>
      <c r="C771" s="40"/>
    </row>
    <row r="772">
      <c r="B772" s="41"/>
      <c r="C772" s="40"/>
    </row>
    <row r="773">
      <c r="B773" s="41"/>
      <c r="C773" s="40"/>
    </row>
    <row r="774">
      <c r="B774" s="41"/>
      <c r="C774" s="40"/>
    </row>
    <row r="775">
      <c r="B775" s="41"/>
      <c r="C775" s="40"/>
    </row>
    <row r="776">
      <c r="B776" s="41"/>
      <c r="C776" s="40"/>
    </row>
    <row r="777">
      <c r="B777" s="41"/>
      <c r="C777" s="40"/>
    </row>
    <row r="778">
      <c r="B778" s="41"/>
      <c r="C778" s="40"/>
    </row>
    <row r="779">
      <c r="B779" s="41"/>
      <c r="C779" s="40"/>
    </row>
    <row r="780">
      <c r="B780" s="41"/>
      <c r="C780" s="40"/>
    </row>
    <row r="781">
      <c r="B781" s="41"/>
      <c r="C781" s="40"/>
    </row>
    <row r="782">
      <c r="B782" s="41"/>
      <c r="C782" s="40"/>
    </row>
    <row r="783">
      <c r="B783" s="41"/>
      <c r="C783" s="40"/>
    </row>
    <row r="784">
      <c r="B784" s="41"/>
      <c r="C784" s="40"/>
    </row>
    <row r="785">
      <c r="B785" s="41"/>
      <c r="C785" s="40"/>
    </row>
    <row r="786">
      <c r="B786" s="41"/>
      <c r="C786" s="40"/>
    </row>
    <row r="787">
      <c r="B787" s="41"/>
      <c r="C787" s="40"/>
    </row>
    <row r="788">
      <c r="B788" s="41"/>
      <c r="C788" s="40"/>
    </row>
    <row r="789">
      <c r="B789" s="41"/>
      <c r="C789" s="40"/>
    </row>
    <row r="790">
      <c r="B790" s="41"/>
      <c r="C790" s="40"/>
    </row>
    <row r="791">
      <c r="B791" s="41"/>
      <c r="C791" s="40"/>
    </row>
    <row r="792">
      <c r="B792" s="41"/>
      <c r="C792" s="40"/>
    </row>
    <row r="793">
      <c r="B793" s="41"/>
      <c r="C793" s="40"/>
    </row>
    <row r="794">
      <c r="B794" s="41"/>
      <c r="C794" s="40"/>
    </row>
    <row r="795">
      <c r="B795" s="41"/>
      <c r="C795" s="40"/>
    </row>
    <row r="796">
      <c r="B796" s="41"/>
      <c r="C796" s="40"/>
    </row>
    <row r="797">
      <c r="B797" s="41"/>
      <c r="C797" s="40"/>
    </row>
    <row r="798">
      <c r="B798" s="41"/>
      <c r="C798" s="40"/>
    </row>
    <row r="799">
      <c r="B799" s="41"/>
      <c r="C799" s="40"/>
    </row>
    <row r="800">
      <c r="B800" s="41"/>
      <c r="C800" s="40"/>
    </row>
    <row r="801">
      <c r="B801" s="41"/>
      <c r="C801" s="40"/>
    </row>
    <row r="802">
      <c r="B802" s="41"/>
      <c r="C802" s="40"/>
    </row>
    <row r="803">
      <c r="B803" s="41"/>
      <c r="C803" s="40"/>
    </row>
    <row r="804">
      <c r="B804" s="41"/>
      <c r="C804" s="40"/>
    </row>
    <row r="805">
      <c r="B805" s="41"/>
      <c r="C805" s="40"/>
    </row>
    <row r="806">
      <c r="B806" s="41"/>
      <c r="C806" s="40"/>
    </row>
    <row r="807">
      <c r="B807" s="41"/>
      <c r="C807" s="40"/>
    </row>
    <row r="808">
      <c r="B808" s="41"/>
      <c r="C808" s="40"/>
    </row>
    <row r="809">
      <c r="B809" s="41"/>
      <c r="C809" s="40"/>
    </row>
    <row r="810">
      <c r="B810" s="41"/>
      <c r="C810" s="40"/>
    </row>
    <row r="811">
      <c r="B811" s="41"/>
      <c r="C811" s="40"/>
    </row>
    <row r="812">
      <c r="B812" s="41"/>
      <c r="C812" s="40"/>
    </row>
    <row r="813">
      <c r="B813" s="41"/>
      <c r="C813" s="40"/>
    </row>
    <row r="814">
      <c r="B814" s="41"/>
      <c r="C814" s="40"/>
    </row>
    <row r="815">
      <c r="B815" s="41"/>
      <c r="C815" s="40"/>
    </row>
    <row r="816">
      <c r="B816" s="41"/>
      <c r="C816" s="40"/>
    </row>
    <row r="817">
      <c r="B817" s="41"/>
      <c r="C817" s="40"/>
    </row>
    <row r="818">
      <c r="B818" s="41"/>
      <c r="C818" s="40"/>
    </row>
    <row r="819">
      <c r="B819" s="41"/>
      <c r="C819" s="40"/>
    </row>
    <row r="820">
      <c r="B820" s="41"/>
      <c r="C820" s="40"/>
    </row>
    <row r="821">
      <c r="B821" s="41"/>
      <c r="C821" s="40"/>
    </row>
    <row r="822">
      <c r="B822" s="41"/>
      <c r="C822" s="40"/>
    </row>
    <row r="823">
      <c r="B823" s="41"/>
      <c r="C823" s="40"/>
    </row>
    <row r="824">
      <c r="B824" s="41"/>
      <c r="C824" s="40"/>
    </row>
    <row r="825">
      <c r="B825" s="41"/>
      <c r="C825" s="40"/>
    </row>
    <row r="826">
      <c r="B826" s="41"/>
      <c r="C826" s="40"/>
    </row>
    <row r="827">
      <c r="B827" s="41"/>
      <c r="C827" s="40"/>
    </row>
    <row r="828">
      <c r="B828" s="41"/>
      <c r="C828" s="40"/>
    </row>
    <row r="829">
      <c r="B829" s="41"/>
      <c r="C829" s="40"/>
    </row>
    <row r="830">
      <c r="B830" s="41"/>
      <c r="C830" s="40"/>
    </row>
    <row r="831">
      <c r="B831" s="41"/>
      <c r="C831" s="40"/>
    </row>
    <row r="832">
      <c r="B832" s="41"/>
      <c r="C832" s="40"/>
    </row>
    <row r="833">
      <c r="B833" s="41"/>
      <c r="C833" s="40"/>
    </row>
    <row r="834">
      <c r="B834" s="41"/>
      <c r="C834" s="40"/>
    </row>
    <row r="835">
      <c r="B835" s="41"/>
      <c r="C835" s="40"/>
    </row>
    <row r="836">
      <c r="B836" s="41"/>
      <c r="C836" s="40"/>
    </row>
    <row r="837">
      <c r="B837" s="41"/>
      <c r="C837" s="40"/>
    </row>
    <row r="838">
      <c r="B838" s="41"/>
      <c r="C838" s="40"/>
    </row>
    <row r="839">
      <c r="B839" s="41"/>
      <c r="C839" s="40"/>
    </row>
    <row r="840">
      <c r="B840" s="41"/>
      <c r="C840" s="40"/>
    </row>
    <row r="841">
      <c r="B841" s="41"/>
      <c r="C841" s="40"/>
    </row>
    <row r="842">
      <c r="B842" s="41"/>
      <c r="C842" s="40"/>
    </row>
    <row r="843">
      <c r="B843" s="41"/>
      <c r="C843" s="40"/>
    </row>
    <row r="844">
      <c r="B844" s="41"/>
      <c r="C844" s="40"/>
    </row>
    <row r="845">
      <c r="B845" s="41"/>
      <c r="C845" s="40"/>
    </row>
    <row r="846">
      <c r="B846" s="41"/>
      <c r="C846" s="40"/>
    </row>
    <row r="847">
      <c r="B847" s="41"/>
      <c r="C847" s="40"/>
    </row>
    <row r="848">
      <c r="B848" s="41"/>
      <c r="C848" s="40"/>
    </row>
    <row r="849">
      <c r="B849" s="41"/>
      <c r="C849" s="40"/>
    </row>
    <row r="850">
      <c r="B850" s="41"/>
      <c r="C850" s="40"/>
    </row>
    <row r="851">
      <c r="B851" s="41"/>
      <c r="C851" s="40"/>
    </row>
    <row r="852">
      <c r="B852" s="41"/>
      <c r="C852" s="40"/>
    </row>
    <row r="853">
      <c r="B853" s="41"/>
      <c r="C853" s="40"/>
    </row>
    <row r="854">
      <c r="B854" s="41"/>
      <c r="C854" s="40"/>
    </row>
    <row r="855">
      <c r="B855" s="41"/>
      <c r="C855" s="40"/>
    </row>
    <row r="856">
      <c r="B856" s="41"/>
      <c r="C856" s="40"/>
    </row>
    <row r="857">
      <c r="B857" s="41"/>
      <c r="C857" s="40"/>
    </row>
    <row r="858">
      <c r="B858" s="41"/>
      <c r="C858" s="40"/>
    </row>
    <row r="859">
      <c r="B859" s="41"/>
      <c r="C859" s="40"/>
    </row>
    <row r="860">
      <c r="B860" s="41"/>
      <c r="C860" s="40"/>
    </row>
    <row r="861">
      <c r="B861" s="41"/>
      <c r="C861" s="40"/>
    </row>
    <row r="862">
      <c r="B862" s="41"/>
      <c r="C862" s="40"/>
    </row>
    <row r="863">
      <c r="B863" s="41"/>
      <c r="C863" s="40"/>
    </row>
    <row r="864">
      <c r="B864" s="41"/>
      <c r="C864" s="40"/>
    </row>
    <row r="865">
      <c r="B865" s="41"/>
      <c r="C865" s="40"/>
    </row>
    <row r="866">
      <c r="B866" s="41"/>
      <c r="C866" s="40"/>
    </row>
    <row r="867">
      <c r="B867" s="41"/>
      <c r="C867" s="40"/>
    </row>
    <row r="868">
      <c r="B868" s="41"/>
      <c r="C868" s="40"/>
    </row>
    <row r="869">
      <c r="B869" s="41"/>
      <c r="C869" s="40"/>
    </row>
    <row r="870">
      <c r="B870" s="41"/>
      <c r="C870" s="40"/>
    </row>
    <row r="871">
      <c r="B871" s="41"/>
      <c r="C871" s="40"/>
    </row>
    <row r="872">
      <c r="B872" s="41"/>
      <c r="C872" s="40"/>
    </row>
    <row r="873">
      <c r="B873" s="41"/>
      <c r="C873" s="40"/>
    </row>
    <row r="874">
      <c r="B874" s="41"/>
      <c r="C874" s="40"/>
    </row>
    <row r="875">
      <c r="B875" s="41"/>
      <c r="C875" s="40"/>
    </row>
    <row r="876">
      <c r="B876" s="41"/>
      <c r="C876" s="40"/>
    </row>
    <row r="877">
      <c r="B877" s="41"/>
      <c r="C877" s="40"/>
    </row>
    <row r="878">
      <c r="B878" s="41"/>
      <c r="C878" s="40"/>
    </row>
    <row r="879">
      <c r="B879" s="41"/>
      <c r="C879" s="40"/>
    </row>
    <row r="880">
      <c r="B880" s="41"/>
      <c r="C880" s="40"/>
    </row>
    <row r="881">
      <c r="B881" s="41"/>
      <c r="C881" s="40"/>
    </row>
    <row r="882">
      <c r="B882" s="41"/>
      <c r="C882" s="40"/>
    </row>
    <row r="883">
      <c r="B883" s="41"/>
      <c r="C883" s="40"/>
    </row>
    <row r="884">
      <c r="B884" s="41"/>
      <c r="C884" s="40"/>
    </row>
    <row r="885">
      <c r="B885" s="41"/>
      <c r="C885" s="40"/>
    </row>
    <row r="886">
      <c r="B886" s="41"/>
      <c r="C886" s="40"/>
    </row>
    <row r="887">
      <c r="B887" s="41"/>
      <c r="C887" s="40"/>
    </row>
    <row r="888">
      <c r="B888" s="41"/>
      <c r="C888" s="40"/>
    </row>
    <row r="889">
      <c r="B889" s="41"/>
      <c r="C889" s="40"/>
    </row>
    <row r="890">
      <c r="B890" s="41"/>
      <c r="C890" s="40"/>
    </row>
    <row r="891">
      <c r="B891" s="41"/>
      <c r="C891" s="40"/>
    </row>
    <row r="892">
      <c r="B892" s="41"/>
      <c r="C892" s="40"/>
    </row>
    <row r="893">
      <c r="B893" s="41"/>
      <c r="C893" s="40"/>
    </row>
    <row r="894">
      <c r="B894" s="41"/>
      <c r="C894" s="40"/>
    </row>
    <row r="895">
      <c r="B895" s="41"/>
      <c r="C895" s="40"/>
    </row>
    <row r="896">
      <c r="B896" s="41"/>
      <c r="C896" s="40"/>
    </row>
    <row r="897">
      <c r="B897" s="41"/>
      <c r="C897" s="40"/>
    </row>
    <row r="898">
      <c r="B898" s="41"/>
      <c r="C898" s="40"/>
    </row>
    <row r="899">
      <c r="B899" s="41"/>
      <c r="C899" s="40"/>
    </row>
    <row r="900">
      <c r="B900" s="41"/>
      <c r="C900" s="40"/>
    </row>
    <row r="901">
      <c r="B901" s="41"/>
      <c r="C901" s="40"/>
    </row>
    <row r="902">
      <c r="B902" s="41"/>
      <c r="C902" s="40"/>
    </row>
    <row r="903">
      <c r="B903" s="41"/>
      <c r="C903" s="40"/>
    </row>
    <row r="904">
      <c r="B904" s="41"/>
      <c r="C904" s="40"/>
    </row>
    <row r="905">
      <c r="B905" s="41"/>
      <c r="C905" s="40"/>
    </row>
    <row r="906">
      <c r="B906" s="41"/>
      <c r="C906" s="40"/>
    </row>
    <row r="907">
      <c r="B907" s="41"/>
      <c r="C907" s="40"/>
    </row>
    <row r="908">
      <c r="B908" s="41"/>
      <c r="C908" s="40"/>
    </row>
    <row r="909">
      <c r="B909" s="41"/>
      <c r="C909" s="40"/>
    </row>
    <row r="910">
      <c r="B910" s="41"/>
      <c r="C910" s="40"/>
    </row>
    <row r="911">
      <c r="B911" s="41"/>
      <c r="C911" s="40"/>
    </row>
    <row r="912">
      <c r="B912" s="41"/>
      <c r="C912" s="40"/>
    </row>
    <row r="913">
      <c r="B913" s="41"/>
      <c r="C913" s="40"/>
    </row>
    <row r="914">
      <c r="B914" s="41"/>
      <c r="C914" s="40"/>
    </row>
    <row r="915">
      <c r="B915" s="41"/>
      <c r="C915" s="40"/>
    </row>
    <row r="916">
      <c r="B916" s="41"/>
      <c r="C916" s="40"/>
    </row>
    <row r="917">
      <c r="B917" s="41"/>
      <c r="C917" s="40"/>
    </row>
    <row r="918">
      <c r="B918" s="41"/>
      <c r="C918" s="40"/>
    </row>
    <row r="919">
      <c r="B919" s="41"/>
      <c r="C919" s="40"/>
    </row>
    <row r="920">
      <c r="B920" s="41"/>
      <c r="C920" s="40"/>
    </row>
    <row r="921">
      <c r="B921" s="41"/>
      <c r="C921" s="40"/>
    </row>
    <row r="922">
      <c r="B922" s="41"/>
      <c r="C922" s="40"/>
    </row>
    <row r="923">
      <c r="B923" s="41"/>
      <c r="C923" s="40"/>
    </row>
    <row r="924">
      <c r="B924" s="41"/>
      <c r="C924" s="40"/>
    </row>
    <row r="925">
      <c r="B925" s="41"/>
      <c r="C925" s="40"/>
    </row>
    <row r="926">
      <c r="B926" s="41"/>
      <c r="C926" s="40"/>
    </row>
    <row r="927">
      <c r="B927" s="41"/>
      <c r="C927" s="40"/>
    </row>
    <row r="928">
      <c r="B928" s="41"/>
      <c r="C928" s="40"/>
    </row>
    <row r="929">
      <c r="B929" s="41"/>
      <c r="C929" s="40"/>
    </row>
    <row r="930">
      <c r="B930" s="41"/>
      <c r="C930" s="40"/>
    </row>
    <row r="931">
      <c r="B931" s="41"/>
      <c r="C931" s="40"/>
    </row>
    <row r="932">
      <c r="B932" s="41"/>
      <c r="C932" s="40"/>
    </row>
    <row r="933">
      <c r="B933" s="41"/>
      <c r="C933" s="40"/>
    </row>
    <row r="934">
      <c r="B934" s="41"/>
      <c r="C934" s="40"/>
    </row>
    <row r="935">
      <c r="B935" s="41"/>
      <c r="C935" s="40"/>
    </row>
    <row r="936">
      <c r="B936" s="41"/>
      <c r="C936" s="40"/>
    </row>
    <row r="937">
      <c r="B937" s="41"/>
      <c r="C937" s="40"/>
    </row>
    <row r="938">
      <c r="B938" s="41"/>
      <c r="C938" s="40"/>
    </row>
    <row r="939">
      <c r="B939" s="41"/>
      <c r="C939" s="40"/>
    </row>
    <row r="940">
      <c r="B940" s="41"/>
      <c r="C940" s="40"/>
    </row>
    <row r="941">
      <c r="B941" s="41"/>
      <c r="C941" s="40"/>
    </row>
    <row r="942">
      <c r="B942" s="41"/>
      <c r="C942" s="40"/>
    </row>
    <row r="943">
      <c r="B943" s="41"/>
      <c r="C943" s="40"/>
    </row>
    <row r="944">
      <c r="B944" s="41"/>
      <c r="C944" s="40"/>
    </row>
    <row r="945">
      <c r="B945" s="41"/>
      <c r="C945" s="40"/>
    </row>
    <row r="946">
      <c r="B946" s="41"/>
      <c r="C946" s="40"/>
    </row>
    <row r="947">
      <c r="B947" s="41"/>
      <c r="C947" s="40"/>
    </row>
    <row r="948">
      <c r="B948" s="41"/>
      <c r="C948" s="40"/>
    </row>
    <row r="949">
      <c r="B949" s="41"/>
      <c r="C949" s="40"/>
    </row>
    <row r="950">
      <c r="B950" s="41"/>
      <c r="C950" s="40"/>
    </row>
    <row r="951">
      <c r="B951" s="41"/>
      <c r="C951" s="40"/>
    </row>
    <row r="952">
      <c r="B952" s="41"/>
      <c r="C952" s="40"/>
    </row>
    <row r="953">
      <c r="B953" s="41"/>
      <c r="C953" s="40"/>
    </row>
    <row r="954">
      <c r="B954" s="41"/>
      <c r="C954" s="40"/>
    </row>
    <row r="955">
      <c r="B955" s="41"/>
      <c r="C955" s="40"/>
    </row>
    <row r="956">
      <c r="B956" s="41"/>
      <c r="C956" s="40"/>
    </row>
    <row r="957">
      <c r="B957" s="41"/>
      <c r="C957" s="40"/>
    </row>
    <row r="958">
      <c r="B958" s="41"/>
      <c r="C958" s="40"/>
    </row>
    <row r="959">
      <c r="B959" s="41"/>
      <c r="C959" s="40"/>
    </row>
    <row r="960">
      <c r="B960" s="41"/>
      <c r="C960" s="40"/>
    </row>
    <row r="961">
      <c r="B961" s="41"/>
      <c r="C961" s="40"/>
    </row>
    <row r="962">
      <c r="B962" s="41"/>
      <c r="C962" s="40"/>
    </row>
    <row r="963">
      <c r="B963" s="41"/>
      <c r="C963" s="40"/>
    </row>
    <row r="964">
      <c r="B964" s="41"/>
      <c r="C964" s="40"/>
    </row>
    <row r="965">
      <c r="B965" s="41"/>
      <c r="C965" s="40"/>
    </row>
    <row r="966">
      <c r="B966" s="41"/>
      <c r="C966" s="40"/>
    </row>
    <row r="967">
      <c r="B967" s="41"/>
      <c r="C967" s="40"/>
    </row>
    <row r="968">
      <c r="B968" s="41"/>
      <c r="C968" s="40"/>
    </row>
    <row r="969">
      <c r="B969" s="41"/>
      <c r="C969" s="40"/>
    </row>
    <row r="970">
      <c r="B970" s="41"/>
      <c r="C970" s="40"/>
    </row>
    <row r="971">
      <c r="B971" s="41"/>
      <c r="C971" s="40"/>
    </row>
    <row r="972">
      <c r="B972" s="41"/>
      <c r="C972" s="40"/>
    </row>
    <row r="973">
      <c r="B973" s="41"/>
      <c r="C973" s="40"/>
    </row>
    <row r="974">
      <c r="B974" s="41"/>
      <c r="C974" s="40"/>
    </row>
    <row r="975">
      <c r="B975" s="41"/>
      <c r="C975" s="40"/>
    </row>
    <row r="976">
      <c r="B976" s="41"/>
      <c r="C976" s="40"/>
    </row>
    <row r="977">
      <c r="B977" s="41"/>
      <c r="C977" s="40"/>
    </row>
    <row r="978">
      <c r="B978" s="41"/>
      <c r="C978" s="40"/>
    </row>
    <row r="979">
      <c r="B979" s="41"/>
      <c r="C979" s="40"/>
    </row>
    <row r="980">
      <c r="B980" s="41"/>
      <c r="C980" s="40"/>
    </row>
    <row r="981">
      <c r="B981" s="41"/>
      <c r="C981" s="40"/>
    </row>
    <row r="982">
      <c r="B982" s="41"/>
      <c r="C982" s="40"/>
    </row>
    <row r="983">
      <c r="B983" s="41"/>
      <c r="C983" s="40"/>
    </row>
    <row r="984">
      <c r="B984" s="41"/>
      <c r="C984" s="40"/>
    </row>
    <row r="985">
      <c r="B985" s="41"/>
      <c r="C985" s="40"/>
    </row>
    <row r="986">
      <c r="B986" s="41"/>
      <c r="C986" s="40"/>
    </row>
    <row r="987">
      <c r="B987" s="41"/>
      <c r="C987" s="40"/>
    </row>
    <row r="988">
      <c r="B988" s="41"/>
      <c r="C988" s="40"/>
    </row>
    <row r="989">
      <c r="B989" s="41"/>
      <c r="C989" s="40"/>
    </row>
    <row r="990">
      <c r="B990" s="41"/>
      <c r="C990" s="40"/>
    </row>
    <row r="991">
      <c r="B991" s="41"/>
      <c r="C991" s="40"/>
    </row>
    <row r="992">
      <c r="B992" s="41"/>
      <c r="C992" s="40"/>
    </row>
    <row r="993">
      <c r="B993" s="41"/>
      <c r="C993" s="40"/>
    </row>
    <row r="994">
      <c r="B994" s="41"/>
      <c r="C994" s="40"/>
    </row>
    <row r="995">
      <c r="B995" s="41"/>
      <c r="C995" s="40"/>
    </row>
    <row r="996">
      <c r="B996" s="41"/>
      <c r="C996" s="40"/>
    </row>
    <row r="997">
      <c r="B997" s="41"/>
      <c r="C997" s="40"/>
    </row>
    <row r="998">
      <c r="B998" s="41"/>
      <c r="C998" s="40"/>
    </row>
    <row r="999">
      <c r="B999" s="41"/>
      <c r="C999" s="40"/>
    </row>
    <row r="1000">
      <c r="B1000" s="41"/>
      <c r="C1000" s="40"/>
    </row>
  </sheetData>
  <mergeCells count="6">
    <mergeCell ref="B8:B9"/>
    <mergeCell ref="C8:C9"/>
    <mergeCell ref="B19:B20"/>
    <mergeCell ref="C19:C20"/>
    <mergeCell ref="B30:B32"/>
    <mergeCell ref="C30:C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4" max="4" width="13.88"/>
    <col customWidth="1" min="6" max="6" width="13.88"/>
    <col customWidth="1" min="7" max="7" width="11.5"/>
  </cols>
  <sheetData>
    <row r="1">
      <c r="A1" s="42" t="s">
        <v>1963</v>
      </c>
    </row>
    <row r="2">
      <c r="A2" s="43" t="s">
        <v>1964</v>
      </c>
    </row>
    <row r="3">
      <c r="A3" s="44"/>
      <c r="B3" s="45"/>
      <c r="C3" s="45"/>
      <c r="D3" s="45"/>
      <c r="E3" s="45"/>
      <c r="F3" s="45"/>
      <c r="G3" s="45"/>
      <c r="H3" s="45"/>
      <c r="I3" s="45"/>
    </row>
    <row r="4">
      <c r="A4" s="46" t="s">
        <v>1965</v>
      </c>
      <c r="I4" s="45"/>
    </row>
    <row r="5">
      <c r="A5" s="47" t="s">
        <v>1966</v>
      </c>
      <c r="B5" s="48" t="s">
        <v>45</v>
      </c>
      <c r="C5" s="48" t="s">
        <v>31</v>
      </c>
      <c r="D5" s="48" t="s">
        <v>32</v>
      </c>
      <c r="E5" s="49" t="s">
        <v>1967</v>
      </c>
      <c r="F5" s="50"/>
      <c r="G5" s="50"/>
      <c r="H5" s="50"/>
      <c r="I5" s="45"/>
    </row>
    <row r="6">
      <c r="A6" s="51" t="s">
        <v>8</v>
      </c>
      <c r="B6" s="52" t="s">
        <v>1968</v>
      </c>
      <c r="C6" s="53" t="s">
        <v>1969</v>
      </c>
      <c r="D6" s="53" t="s">
        <v>1970</v>
      </c>
      <c r="E6" s="54">
        <v>500.0</v>
      </c>
      <c r="F6" s="54"/>
      <c r="G6" s="54"/>
      <c r="H6" s="54"/>
      <c r="I6" s="45"/>
    </row>
    <row r="7">
      <c r="A7" s="55" t="s">
        <v>1971</v>
      </c>
      <c r="B7" s="56" t="s">
        <v>1972</v>
      </c>
      <c r="C7" s="57" t="s">
        <v>1973</v>
      </c>
      <c r="D7" s="52" t="s">
        <v>1974</v>
      </c>
      <c r="E7" s="58">
        <v>500.0</v>
      </c>
      <c r="F7" s="54"/>
      <c r="G7" s="59"/>
      <c r="I7" s="60" t="s">
        <v>1975</v>
      </c>
      <c r="L7" s="61" t="s">
        <v>1976</v>
      </c>
    </row>
    <row r="8">
      <c r="A8" s="62" t="s">
        <v>1977</v>
      </c>
      <c r="B8" s="53" t="s">
        <v>1978</v>
      </c>
      <c r="C8" s="53" t="s">
        <v>1979</v>
      </c>
      <c r="D8" s="56" t="s">
        <v>1980</v>
      </c>
      <c r="E8" s="54">
        <v>487.0</v>
      </c>
      <c r="F8" s="54"/>
      <c r="I8" s="61" t="s">
        <v>1981</v>
      </c>
      <c r="J8" s="61" t="s">
        <v>1982</v>
      </c>
      <c r="K8" s="61" t="s">
        <v>1983</v>
      </c>
    </row>
    <row r="9">
      <c r="A9" s="63" t="s">
        <v>1984</v>
      </c>
      <c r="B9" s="57" t="s">
        <v>1985</v>
      </c>
      <c r="C9" s="57" t="s">
        <v>1986</v>
      </c>
      <c r="D9" s="56" t="s">
        <v>1987</v>
      </c>
      <c r="E9" s="58">
        <v>492.0</v>
      </c>
      <c r="F9" s="54"/>
      <c r="G9" s="60" t="s">
        <v>1988</v>
      </c>
      <c r="H9" s="64" t="s">
        <v>1981</v>
      </c>
      <c r="I9" s="65">
        <v>61.0</v>
      </c>
      <c r="J9" s="66">
        <v>1.0</v>
      </c>
      <c r="K9" s="66">
        <v>0.0</v>
      </c>
      <c r="L9" s="67">
        <v>62.0</v>
      </c>
    </row>
    <row r="10">
      <c r="A10" s="62" t="s">
        <v>1989</v>
      </c>
      <c r="B10" s="53" t="s">
        <v>1990</v>
      </c>
      <c r="C10" s="53" t="s">
        <v>1991</v>
      </c>
      <c r="D10" s="53" t="s">
        <v>1992</v>
      </c>
      <c r="E10" s="54">
        <v>500.0</v>
      </c>
      <c r="F10" s="54"/>
      <c r="H10" s="64" t="s">
        <v>1982</v>
      </c>
      <c r="I10" s="66">
        <v>90.0</v>
      </c>
      <c r="J10" s="65">
        <v>95.0</v>
      </c>
      <c r="K10" s="66">
        <v>16.0</v>
      </c>
      <c r="L10" s="67">
        <v>201.0</v>
      </c>
    </row>
    <row r="11">
      <c r="A11" s="63" t="s">
        <v>1993</v>
      </c>
      <c r="B11" s="57" t="s">
        <v>1994</v>
      </c>
      <c r="C11" s="57" t="s">
        <v>1995</v>
      </c>
      <c r="D11" s="57" t="s">
        <v>1996</v>
      </c>
      <c r="E11" s="58">
        <v>500.0</v>
      </c>
      <c r="F11" s="54"/>
      <c r="H11" s="64" t="s">
        <v>1983</v>
      </c>
      <c r="I11" s="66">
        <v>62.0</v>
      </c>
      <c r="J11" s="66">
        <v>18.0</v>
      </c>
      <c r="K11" s="65">
        <v>157.0</v>
      </c>
      <c r="L11" s="67">
        <v>237.0</v>
      </c>
    </row>
    <row r="12">
      <c r="A12" s="62" t="s">
        <v>1997</v>
      </c>
      <c r="B12" s="53" t="s">
        <v>1998</v>
      </c>
      <c r="C12" s="53" t="s">
        <v>1999</v>
      </c>
      <c r="D12" s="53" t="s">
        <v>2000</v>
      </c>
      <c r="E12" s="54">
        <v>500.0</v>
      </c>
      <c r="F12" s="54"/>
      <c r="G12" s="64" t="s">
        <v>1976</v>
      </c>
      <c r="I12" s="67">
        <v>213.0</v>
      </c>
      <c r="J12" s="67">
        <v>114.0</v>
      </c>
      <c r="K12" s="67">
        <v>173.0</v>
      </c>
      <c r="L12" s="68">
        <v>500.0</v>
      </c>
    </row>
    <row r="13">
      <c r="A13" s="55"/>
      <c r="B13" s="57"/>
      <c r="C13" s="57"/>
      <c r="D13" s="57"/>
      <c r="E13" s="58"/>
      <c r="F13" s="54"/>
      <c r="G13" s="54"/>
      <c r="H13" s="54"/>
      <c r="I13" s="45"/>
    </row>
    <row r="14">
      <c r="A14" s="69"/>
      <c r="B14" s="70"/>
      <c r="C14" s="70"/>
      <c r="D14" s="70"/>
      <c r="E14" s="70"/>
      <c r="F14" s="70"/>
      <c r="G14" s="70"/>
      <c r="H14" s="50"/>
      <c r="I14" s="45"/>
    </row>
    <row r="15">
      <c r="A15" s="44"/>
      <c r="B15" s="45"/>
      <c r="C15" s="45"/>
      <c r="D15" s="45"/>
      <c r="E15" s="45"/>
      <c r="F15" s="45"/>
      <c r="G15" s="45"/>
      <c r="H15" s="45"/>
      <c r="I15" s="45"/>
      <c r="K15" s="71"/>
      <c r="M15" s="72"/>
      <c r="P15" s="73"/>
    </row>
    <row r="16">
      <c r="A16" s="46" t="s">
        <v>2001</v>
      </c>
      <c r="F16" s="45"/>
      <c r="G16" s="74" t="s">
        <v>2002</v>
      </c>
      <c r="H16" s="74" t="s">
        <v>2003</v>
      </c>
      <c r="I16" s="74" t="s">
        <v>2004</v>
      </c>
      <c r="M16" s="73"/>
      <c r="N16" s="73"/>
      <c r="O16" s="73"/>
    </row>
    <row r="17">
      <c r="A17" s="75" t="s">
        <v>2005</v>
      </c>
      <c r="B17" s="74" t="s">
        <v>32</v>
      </c>
      <c r="C17" s="74" t="s">
        <v>31</v>
      </c>
      <c r="D17" s="74" t="s">
        <v>45</v>
      </c>
      <c r="E17" s="74" t="s">
        <v>2006</v>
      </c>
      <c r="F17" s="45"/>
      <c r="G17" s="76" t="s">
        <v>2007</v>
      </c>
      <c r="H17" s="65">
        <v>313.0</v>
      </c>
      <c r="I17" s="65" t="s">
        <v>2008</v>
      </c>
      <c r="K17" s="72"/>
      <c r="L17" s="77"/>
      <c r="M17" s="66"/>
      <c r="N17" s="66"/>
      <c r="O17" s="66"/>
      <c r="P17" s="78"/>
    </row>
    <row r="18">
      <c r="A18" s="79" t="s">
        <v>32</v>
      </c>
      <c r="B18" s="65">
        <v>157.0</v>
      </c>
      <c r="C18" s="66">
        <v>18.0</v>
      </c>
      <c r="D18" s="66">
        <v>62.0</v>
      </c>
      <c r="E18" s="67">
        <v>237.0</v>
      </c>
      <c r="F18" s="45"/>
      <c r="G18" s="76" t="s">
        <v>2009</v>
      </c>
      <c r="H18" s="65">
        <v>157.0</v>
      </c>
      <c r="I18" s="65" t="s">
        <v>2010</v>
      </c>
      <c r="L18" s="77"/>
      <c r="M18" s="66"/>
      <c r="N18" s="66"/>
      <c r="O18" s="66"/>
      <c r="P18" s="78"/>
    </row>
    <row r="19">
      <c r="A19" s="79" t="s">
        <v>31</v>
      </c>
      <c r="B19" s="66">
        <v>16.0</v>
      </c>
      <c r="C19" s="65">
        <v>95.0</v>
      </c>
      <c r="D19" s="66">
        <v>90.0</v>
      </c>
      <c r="E19" s="67">
        <v>201.0</v>
      </c>
      <c r="F19" s="45"/>
      <c r="G19" s="76" t="s">
        <v>2011</v>
      </c>
      <c r="H19" s="65">
        <v>95.0</v>
      </c>
      <c r="I19" s="65" t="s">
        <v>2012</v>
      </c>
      <c r="L19" s="77"/>
      <c r="M19" s="66"/>
      <c r="N19" s="66"/>
      <c r="O19" s="66"/>
      <c r="P19" s="78"/>
    </row>
    <row r="20">
      <c r="A20" s="79" t="s">
        <v>45</v>
      </c>
      <c r="B20" s="66">
        <v>0.0</v>
      </c>
      <c r="C20" s="66">
        <v>1.0</v>
      </c>
      <c r="D20" s="65">
        <v>61.0</v>
      </c>
      <c r="E20" s="67">
        <v>62.0</v>
      </c>
      <c r="F20" s="45"/>
      <c r="G20" s="76" t="s">
        <v>2013</v>
      </c>
      <c r="H20" s="65">
        <v>61.0</v>
      </c>
      <c r="I20" s="65" t="s">
        <v>2014</v>
      </c>
      <c r="K20" s="77"/>
      <c r="M20" s="78"/>
      <c r="N20" s="78"/>
      <c r="O20" s="78"/>
      <c r="P20" s="80"/>
    </row>
    <row r="21">
      <c r="A21" s="79" t="s">
        <v>2015</v>
      </c>
      <c r="B21" s="67">
        <v>173.0</v>
      </c>
      <c r="C21" s="67">
        <v>114.0</v>
      </c>
      <c r="D21" s="67">
        <v>213.0</v>
      </c>
      <c r="E21" s="68">
        <v>500.0</v>
      </c>
      <c r="F21" s="45"/>
      <c r="G21" s="76" t="s">
        <v>2016</v>
      </c>
      <c r="H21" s="81">
        <v>187.0</v>
      </c>
      <c r="I21" s="81" t="s">
        <v>2017</v>
      </c>
    </row>
    <row r="22">
      <c r="A22" s="44"/>
      <c r="B22" s="45"/>
      <c r="C22" s="45"/>
      <c r="D22" s="45"/>
      <c r="E22" s="45"/>
      <c r="F22" s="45"/>
      <c r="G22" s="45"/>
      <c r="H22" s="45"/>
      <c r="I22" s="45"/>
    </row>
    <row r="23">
      <c r="A23" s="82" t="s">
        <v>2018</v>
      </c>
      <c r="F23" s="45"/>
      <c r="G23" s="74" t="s">
        <v>2002</v>
      </c>
      <c r="H23" s="74" t="s">
        <v>2003</v>
      </c>
      <c r="I23" s="74" t="s">
        <v>2004</v>
      </c>
    </row>
    <row r="24">
      <c r="A24" s="75" t="s">
        <v>2019</v>
      </c>
      <c r="B24" s="74" t="s">
        <v>32</v>
      </c>
      <c r="C24" s="74" t="s">
        <v>31</v>
      </c>
      <c r="D24" s="74" t="s">
        <v>45</v>
      </c>
      <c r="E24" s="74" t="s">
        <v>2006</v>
      </c>
      <c r="F24" s="45"/>
      <c r="G24" s="76" t="s">
        <v>2007</v>
      </c>
      <c r="H24" s="65">
        <v>134.0</v>
      </c>
      <c r="I24" s="65" t="s">
        <v>2020</v>
      </c>
    </row>
    <row r="25">
      <c r="A25" s="83" t="s">
        <v>32</v>
      </c>
      <c r="B25" s="65">
        <v>16.0</v>
      </c>
      <c r="C25" s="66">
        <v>113.0</v>
      </c>
      <c r="D25" s="66">
        <v>24.0</v>
      </c>
      <c r="E25" s="67">
        <v>153.0</v>
      </c>
      <c r="F25" s="45"/>
      <c r="G25" s="76" t="s">
        <v>2009</v>
      </c>
      <c r="H25" s="65">
        <v>16.0</v>
      </c>
      <c r="I25" s="65" t="s">
        <v>2021</v>
      </c>
    </row>
    <row r="26">
      <c r="A26" s="83" t="s">
        <v>31</v>
      </c>
      <c r="B26" s="66">
        <v>2.0</v>
      </c>
      <c r="C26" s="65">
        <v>70.0</v>
      </c>
      <c r="D26" s="66">
        <v>73.0</v>
      </c>
      <c r="E26" s="67">
        <v>145.0</v>
      </c>
      <c r="F26" s="45"/>
      <c r="G26" s="76" t="s">
        <v>2011</v>
      </c>
      <c r="H26" s="65">
        <v>70.0</v>
      </c>
      <c r="I26" s="65" t="s">
        <v>2022</v>
      </c>
    </row>
    <row r="27">
      <c r="A27" s="83" t="s">
        <v>31</v>
      </c>
      <c r="B27" s="66">
        <v>2.0</v>
      </c>
      <c r="C27" s="66">
        <v>1.0</v>
      </c>
      <c r="D27" s="65">
        <v>48.0</v>
      </c>
      <c r="E27" s="67">
        <v>51.0</v>
      </c>
      <c r="F27" s="45"/>
      <c r="G27" s="76" t="s">
        <v>2013</v>
      </c>
      <c r="H27" s="65">
        <v>48.0</v>
      </c>
      <c r="I27" s="65" t="s">
        <v>2023</v>
      </c>
    </row>
    <row r="28">
      <c r="A28" s="83" t="s">
        <v>2015</v>
      </c>
      <c r="B28" s="67">
        <v>20.0</v>
      </c>
      <c r="C28" s="67">
        <v>184.0</v>
      </c>
      <c r="D28" s="67">
        <v>145.0</v>
      </c>
      <c r="E28" s="68">
        <v>349.0</v>
      </c>
      <c r="F28" s="45"/>
      <c r="G28" s="76" t="s">
        <v>2016</v>
      </c>
      <c r="H28" s="81">
        <v>215.0</v>
      </c>
      <c r="I28" s="81" t="s">
        <v>2024</v>
      </c>
    </row>
    <row r="29">
      <c r="A29" s="45"/>
      <c r="B29" s="45"/>
      <c r="C29" s="45"/>
      <c r="D29" s="45"/>
      <c r="E29" s="45"/>
      <c r="F29" s="45"/>
      <c r="G29" s="45"/>
      <c r="H29" s="45"/>
      <c r="I29" s="45"/>
    </row>
    <row r="30">
      <c r="A30" s="82" t="s">
        <v>2025</v>
      </c>
      <c r="F30" s="45"/>
      <c r="G30" s="74" t="s">
        <v>2002</v>
      </c>
      <c r="H30" s="74" t="s">
        <v>2003</v>
      </c>
      <c r="I30" s="74" t="s">
        <v>2004</v>
      </c>
    </row>
    <row r="31">
      <c r="A31" s="75" t="s">
        <v>2026</v>
      </c>
      <c r="B31" s="74" t="s">
        <v>32</v>
      </c>
      <c r="C31" s="74" t="s">
        <v>31</v>
      </c>
      <c r="D31" s="74" t="s">
        <v>45</v>
      </c>
      <c r="E31" s="74" t="s">
        <v>2006</v>
      </c>
      <c r="F31" s="45"/>
      <c r="G31" s="76" t="s">
        <v>2007</v>
      </c>
      <c r="H31" s="65">
        <v>188.0</v>
      </c>
      <c r="I31" s="65" t="s">
        <v>2027</v>
      </c>
    </row>
    <row r="32">
      <c r="A32" s="79" t="s">
        <v>32</v>
      </c>
      <c r="B32" s="65">
        <v>14.0</v>
      </c>
      <c r="C32" s="66">
        <v>97.0</v>
      </c>
      <c r="D32" s="66">
        <v>9.0</v>
      </c>
      <c r="E32" s="67">
        <v>120.0</v>
      </c>
      <c r="F32" s="45"/>
      <c r="G32" s="76" t="s">
        <v>2009</v>
      </c>
      <c r="H32" s="65">
        <v>14.0</v>
      </c>
      <c r="I32" s="65" t="s">
        <v>2028</v>
      </c>
    </row>
    <row r="33">
      <c r="A33" s="79" t="s">
        <v>31</v>
      </c>
      <c r="B33" s="66">
        <v>5.0</v>
      </c>
      <c r="C33" s="65">
        <v>55.0</v>
      </c>
      <c r="D33" s="66">
        <v>17.0</v>
      </c>
      <c r="E33" s="67">
        <v>77.0</v>
      </c>
      <c r="F33" s="45"/>
      <c r="G33" s="76" t="s">
        <v>2011</v>
      </c>
      <c r="H33" s="65">
        <v>55.0</v>
      </c>
      <c r="I33" s="65" t="s">
        <v>2029</v>
      </c>
    </row>
    <row r="34">
      <c r="A34" s="79" t="s">
        <v>45</v>
      </c>
      <c r="B34" s="66">
        <v>1.0</v>
      </c>
      <c r="C34" s="66">
        <v>32.0</v>
      </c>
      <c r="D34" s="65">
        <v>119.0</v>
      </c>
      <c r="E34" s="67">
        <v>152.0</v>
      </c>
      <c r="F34" s="45"/>
      <c r="G34" s="76" t="s">
        <v>2013</v>
      </c>
      <c r="H34" s="65">
        <v>119.0</v>
      </c>
      <c r="I34" s="65" t="s">
        <v>2030</v>
      </c>
    </row>
    <row r="35">
      <c r="A35" s="79" t="s">
        <v>2015</v>
      </c>
      <c r="B35" s="67">
        <v>20.0</v>
      </c>
      <c r="C35" s="67">
        <v>184.0</v>
      </c>
      <c r="D35" s="67">
        <v>145.0</v>
      </c>
      <c r="E35" s="68">
        <v>349.0</v>
      </c>
      <c r="F35" s="45"/>
      <c r="G35" s="76" t="s">
        <v>2016</v>
      </c>
      <c r="H35" s="81">
        <v>161.0</v>
      </c>
      <c r="I35" s="81" t="s">
        <v>2031</v>
      </c>
    </row>
    <row r="36">
      <c r="A36" s="44"/>
      <c r="B36" s="45"/>
      <c r="C36" s="45"/>
      <c r="D36" s="45"/>
      <c r="E36" s="45"/>
      <c r="F36" s="45"/>
      <c r="G36" s="45"/>
      <c r="H36" s="45"/>
      <c r="I36" s="45"/>
    </row>
    <row r="37">
      <c r="A37" s="84"/>
      <c r="H37" s="45"/>
      <c r="I37" s="45"/>
    </row>
    <row r="38">
      <c r="A38" s="85"/>
      <c r="B38" s="86"/>
      <c r="C38" s="86"/>
      <c r="D38" s="86"/>
      <c r="E38" s="86"/>
      <c r="F38" s="86"/>
      <c r="G38" s="87"/>
      <c r="I38" s="88" t="s">
        <v>2032</v>
      </c>
      <c r="L38" s="88" t="s">
        <v>1976</v>
      </c>
    </row>
    <row r="39">
      <c r="A39" s="89"/>
      <c r="B39" s="54"/>
      <c r="C39" s="54"/>
      <c r="D39" s="54"/>
      <c r="E39" s="54"/>
      <c r="F39" s="54"/>
      <c r="I39" s="88" t="s">
        <v>1981</v>
      </c>
      <c r="J39" s="88" t="s">
        <v>1982</v>
      </c>
      <c r="K39" s="88" t="s">
        <v>1983</v>
      </c>
    </row>
    <row r="40">
      <c r="A40" s="89"/>
      <c r="B40" s="54"/>
      <c r="C40" s="54"/>
      <c r="D40" s="54"/>
      <c r="E40" s="54"/>
      <c r="F40" s="54"/>
      <c r="G40" s="90" t="s">
        <v>1988</v>
      </c>
      <c r="H40" s="88" t="s">
        <v>1981</v>
      </c>
      <c r="I40" s="91">
        <v>48.0</v>
      </c>
      <c r="J40" s="92">
        <v>1.0</v>
      </c>
      <c r="K40" s="92">
        <v>2.0</v>
      </c>
      <c r="L40" s="93">
        <v>51.0</v>
      </c>
    </row>
    <row r="41">
      <c r="A41" s="44"/>
      <c r="B41" s="45"/>
      <c r="C41" s="45"/>
      <c r="D41" s="45"/>
      <c r="E41" s="45"/>
      <c r="F41" s="45"/>
      <c r="H41" s="88" t="s">
        <v>1982</v>
      </c>
      <c r="I41" s="92">
        <v>73.0</v>
      </c>
      <c r="J41" s="91">
        <v>70.0</v>
      </c>
      <c r="K41" s="92">
        <v>2.0</v>
      </c>
      <c r="L41" s="93">
        <v>145.0</v>
      </c>
    </row>
    <row r="42">
      <c r="A42" s="94"/>
      <c r="E42" s="45"/>
      <c r="F42" s="45"/>
      <c r="H42" s="88" t="s">
        <v>1983</v>
      </c>
      <c r="I42" s="92">
        <v>24.0</v>
      </c>
      <c r="J42" s="92">
        <v>113.0</v>
      </c>
      <c r="K42" s="91">
        <v>16.0</v>
      </c>
      <c r="L42" s="93">
        <v>153.0</v>
      </c>
    </row>
    <row r="43">
      <c r="A43" s="85"/>
      <c r="B43" s="86"/>
      <c r="C43" s="86"/>
      <c r="D43" s="86"/>
      <c r="E43" s="45"/>
      <c r="F43" s="45"/>
      <c r="G43" s="88" t="s">
        <v>1976</v>
      </c>
      <c r="I43" s="93">
        <v>145.0</v>
      </c>
      <c r="J43" s="93">
        <v>184.0</v>
      </c>
      <c r="K43" s="93">
        <v>20.0</v>
      </c>
      <c r="L43" s="95">
        <v>349.0</v>
      </c>
    </row>
    <row r="44">
      <c r="A44" s="96"/>
      <c r="B44" s="54"/>
      <c r="C44" s="54"/>
      <c r="D44" s="54"/>
      <c r="E44" s="45"/>
      <c r="F44" s="45"/>
      <c r="G44" s="45"/>
      <c r="H44" s="45"/>
      <c r="I44" s="45"/>
    </row>
    <row r="45">
      <c r="A45" s="96"/>
      <c r="B45" s="54"/>
      <c r="C45" s="54"/>
      <c r="D45" s="54"/>
      <c r="E45" s="45"/>
      <c r="F45" s="45"/>
      <c r="G45" s="87"/>
      <c r="I45" s="88" t="s">
        <v>2032</v>
      </c>
      <c r="L45" s="88" t="s">
        <v>1976</v>
      </c>
    </row>
    <row r="46">
      <c r="A46" s="96"/>
      <c r="B46" s="54"/>
      <c r="C46" s="54"/>
      <c r="D46" s="54"/>
      <c r="E46" s="45"/>
      <c r="F46" s="45"/>
      <c r="I46" s="88" t="s">
        <v>1981</v>
      </c>
      <c r="J46" s="88" t="s">
        <v>1982</v>
      </c>
      <c r="K46" s="88" t="s">
        <v>1983</v>
      </c>
    </row>
    <row r="47">
      <c r="A47" s="96"/>
      <c r="B47" s="54"/>
      <c r="C47" s="54"/>
      <c r="D47" s="54"/>
      <c r="E47" s="45"/>
      <c r="F47" s="45"/>
      <c r="G47" s="97" t="s">
        <v>2033</v>
      </c>
      <c r="H47" s="88" t="s">
        <v>1981</v>
      </c>
      <c r="I47" s="91">
        <v>119.0</v>
      </c>
      <c r="J47" s="92">
        <v>32.0</v>
      </c>
      <c r="K47" s="92">
        <v>1.0</v>
      </c>
      <c r="L47" s="93">
        <v>152.0</v>
      </c>
    </row>
    <row r="48">
      <c r="A48" s="96"/>
      <c r="B48" s="54"/>
      <c r="C48" s="54"/>
      <c r="D48" s="54"/>
      <c r="E48" s="45"/>
      <c r="F48" s="45"/>
      <c r="H48" s="88" t="s">
        <v>1982</v>
      </c>
      <c r="I48" s="92">
        <v>17.0</v>
      </c>
      <c r="J48" s="91">
        <v>55.0</v>
      </c>
      <c r="K48" s="92">
        <v>5.0</v>
      </c>
      <c r="L48" s="93">
        <v>77.0</v>
      </c>
    </row>
    <row r="49">
      <c r="A49" s="96"/>
      <c r="B49" s="54"/>
      <c r="C49" s="54"/>
      <c r="D49" s="54"/>
      <c r="E49" s="45"/>
      <c r="F49" s="45"/>
      <c r="H49" s="88" t="s">
        <v>1983</v>
      </c>
      <c r="I49" s="92">
        <v>9.0</v>
      </c>
      <c r="J49" s="92">
        <v>97.0</v>
      </c>
      <c r="K49" s="91">
        <v>14.0</v>
      </c>
      <c r="L49" s="93">
        <v>120.0</v>
      </c>
    </row>
    <row r="50">
      <c r="A50" s="96"/>
      <c r="B50" s="54"/>
      <c r="C50" s="54"/>
      <c r="D50" s="54"/>
      <c r="E50" s="45"/>
      <c r="F50" s="45"/>
      <c r="G50" s="88" t="s">
        <v>1976</v>
      </c>
      <c r="I50" s="93">
        <v>145.0</v>
      </c>
      <c r="J50" s="93">
        <v>184.0</v>
      </c>
      <c r="K50" s="93">
        <v>20.0</v>
      </c>
      <c r="L50" s="95">
        <v>349.0</v>
      </c>
    </row>
    <row r="51">
      <c r="A51" s="44"/>
      <c r="B51" s="45"/>
      <c r="C51" s="45"/>
      <c r="D51" s="45"/>
      <c r="E51" s="45"/>
      <c r="F51" s="45"/>
      <c r="G51" s="45"/>
      <c r="H51" s="45"/>
      <c r="I51" s="45"/>
    </row>
    <row r="52">
      <c r="A52" s="84"/>
      <c r="B52" s="45"/>
      <c r="C52" s="45"/>
      <c r="D52" s="45"/>
      <c r="E52" s="45"/>
      <c r="F52" s="45"/>
      <c r="G52" s="45"/>
      <c r="H52" s="45"/>
      <c r="I52" s="45"/>
    </row>
    <row r="53">
      <c r="A53" s="85"/>
      <c r="C53" s="86"/>
      <c r="D53" s="45"/>
      <c r="E53" s="45"/>
      <c r="F53" s="45"/>
      <c r="G53" s="45"/>
      <c r="H53" s="45"/>
      <c r="I53" s="45"/>
    </row>
    <row r="54">
      <c r="A54" s="98"/>
      <c r="B54" s="99"/>
      <c r="C54" s="100"/>
      <c r="D54" s="101"/>
      <c r="E54" s="101"/>
      <c r="F54" s="45"/>
      <c r="G54" s="45"/>
      <c r="H54" s="45"/>
      <c r="I54" s="45"/>
    </row>
    <row r="55">
      <c r="A55" s="98"/>
      <c r="B55" s="99"/>
      <c r="C55" s="100"/>
      <c r="D55" s="101"/>
      <c r="E55" s="101"/>
      <c r="F55" s="45"/>
      <c r="G55" s="45"/>
      <c r="H55" s="45"/>
      <c r="I55" s="45"/>
    </row>
    <row r="56">
      <c r="A56" s="98"/>
      <c r="B56" s="99"/>
      <c r="C56" s="100"/>
      <c r="D56" s="101"/>
      <c r="E56" s="101"/>
      <c r="F56" s="45"/>
      <c r="G56" s="45"/>
      <c r="H56" s="45"/>
      <c r="I56" s="45"/>
    </row>
    <row r="57">
      <c r="A57" s="98"/>
      <c r="B57" s="99"/>
      <c r="C57" s="100"/>
      <c r="D57" s="101"/>
      <c r="E57" s="101"/>
      <c r="F57" s="45"/>
      <c r="G57" s="45"/>
      <c r="H57" s="45"/>
      <c r="I57" s="45"/>
    </row>
    <row r="58">
      <c r="A58" s="98"/>
      <c r="B58" s="99"/>
      <c r="C58" s="100"/>
      <c r="D58" s="101"/>
      <c r="E58" s="101"/>
      <c r="F58" s="45"/>
      <c r="G58" s="45"/>
      <c r="H58" s="45"/>
      <c r="I58" s="45"/>
    </row>
    <row r="59">
      <c r="A59" s="102"/>
      <c r="B59" s="103"/>
      <c r="C59" s="104"/>
      <c r="D59" s="105"/>
      <c r="E59" s="101"/>
      <c r="F59" s="101"/>
      <c r="G59" s="101"/>
      <c r="H59" s="101"/>
      <c r="I59" s="45"/>
    </row>
    <row r="60">
      <c r="A60" s="106" t="s">
        <v>2034</v>
      </c>
      <c r="B60" s="107"/>
      <c r="C60" s="107"/>
      <c r="D60" s="108"/>
    </row>
    <row r="61">
      <c r="A61" s="109" t="s">
        <v>2035</v>
      </c>
      <c r="B61" s="109" t="s">
        <v>2036</v>
      </c>
      <c r="C61" s="109" t="s">
        <v>2037</v>
      </c>
      <c r="D61" s="109" t="s">
        <v>2038</v>
      </c>
    </row>
    <row r="62">
      <c r="A62" s="110" t="s">
        <v>2039</v>
      </c>
      <c r="B62" s="111">
        <v>49.0</v>
      </c>
      <c r="C62" s="111" t="s">
        <v>2040</v>
      </c>
      <c r="D62" s="111" t="s">
        <v>2041</v>
      </c>
    </row>
    <row r="63">
      <c r="A63" s="110" t="s">
        <v>2042</v>
      </c>
      <c r="B63" s="111">
        <v>46.0</v>
      </c>
      <c r="C63" s="111" t="s">
        <v>2043</v>
      </c>
      <c r="D63" s="111" t="s">
        <v>2044</v>
      </c>
    </row>
    <row r="64">
      <c r="A64" s="110" t="s">
        <v>2045</v>
      </c>
      <c r="B64" s="111">
        <v>48.0</v>
      </c>
      <c r="C64" s="111" t="s">
        <v>2046</v>
      </c>
      <c r="D64" s="111" t="s">
        <v>2047</v>
      </c>
    </row>
    <row r="65">
      <c r="A65" s="110" t="s">
        <v>2048</v>
      </c>
      <c r="B65" s="111">
        <v>46.0</v>
      </c>
      <c r="C65" s="111" t="s">
        <v>2043</v>
      </c>
      <c r="D65" s="111" t="s">
        <v>2049</v>
      </c>
    </row>
    <row r="66">
      <c r="A66" s="110" t="s">
        <v>2050</v>
      </c>
      <c r="B66" s="111">
        <v>48.0</v>
      </c>
      <c r="C66" s="111" t="s">
        <v>2051</v>
      </c>
      <c r="D66" s="111" t="s">
        <v>2052</v>
      </c>
    </row>
    <row r="67">
      <c r="A67" s="110" t="s">
        <v>2053</v>
      </c>
      <c r="B67" s="111">
        <v>50.0</v>
      </c>
      <c r="C67" s="111" t="s">
        <v>2054</v>
      </c>
      <c r="D67" s="111" t="s">
        <v>2055</v>
      </c>
    </row>
    <row r="68">
      <c r="A68" s="110" t="s">
        <v>2056</v>
      </c>
      <c r="B68" s="111">
        <v>49.0</v>
      </c>
      <c r="C68" s="111" t="s">
        <v>2057</v>
      </c>
      <c r="D68" s="111" t="s">
        <v>2058</v>
      </c>
    </row>
    <row r="69">
      <c r="A69" s="110" t="s">
        <v>2059</v>
      </c>
      <c r="B69" s="111">
        <v>48.0</v>
      </c>
      <c r="C69" s="111" t="s">
        <v>2060</v>
      </c>
      <c r="D69" s="111" t="s">
        <v>2061</v>
      </c>
    </row>
    <row r="70">
      <c r="A70" s="110" t="s">
        <v>2062</v>
      </c>
      <c r="B70" s="111">
        <v>48.0</v>
      </c>
      <c r="C70" s="111" t="s">
        <v>2063</v>
      </c>
      <c r="D70" s="111" t="s">
        <v>2064</v>
      </c>
    </row>
    <row r="71">
      <c r="A71" s="110" t="s">
        <v>2065</v>
      </c>
      <c r="B71" s="111">
        <v>48.0</v>
      </c>
      <c r="C71" s="111" t="s">
        <v>2066</v>
      </c>
      <c r="D71" s="111" t="s">
        <v>2067</v>
      </c>
    </row>
    <row r="72">
      <c r="A72" s="112" t="s">
        <v>2068</v>
      </c>
      <c r="B72" s="109">
        <v>48.0</v>
      </c>
      <c r="C72" s="109" t="s">
        <v>2069</v>
      </c>
      <c r="D72" s="109" t="s">
        <v>2070</v>
      </c>
    </row>
    <row r="73">
      <c r="A73" s="113"/>
    </row>
    <row r="74">
      <c r="A74" s="106" t="s">
        <v>2071</v>
      </c>
      <c r="B74" s="107"/>
      <c r="C74" s="107"/>
      <c r="D74" s="107"/>
      <c r="E74" s="107"/>
      <c r="F74" s="108"/>
    </row>
    <row r="75">
      <c r="A75" s="114"/>
      <c r="B75" s="109" t="s">
        <v>2072</v>
      </c>
      <c r="C75" s="109" t="s">
        <v>2073</v>
      </c>
      <c r="D75" s="109" t="s">
        <v>2074</v>
      </c>
      <c r="E75" s="109" t="s">
        <v>2075</v>
      </c>
      <c r="F75" s="109" t="s">
        <v>2076</v>
      </c>
    </row>
    <row r="76">
      <c r="A76" s="115" t="s">
        <v>2072</v>
      </c>
      <c r="B76" s="116" t="s">
        <v>181</v>
      </c>
      <c r="C76" s="117" t="s">
        <v>2040</v>
      </c>
      <c r="D76" s="118" t="s">
        <v>2043</v>
      </c>
      <c r="E76" s="118" t="s">
        <v>2046</v>
      </c>
      <c r="F76" s="118" t="s">
        <v>2043</v>
      </c>
    </row>
    <row r="77">
      <c r="A77" s="115" t="s">
        <v>2073</v>
      </c>
      <c r="B77" s="117" t="s">
        <v>2040</v>
      </c>
      <c r="C77" s="116" t="s">
        <v>181</v>
      </c>
      <c r="D77" s="118" t="s">
        <v>2051</v>
      </c>
      <c r="E77" s="118" t="s">
        <v>2054</v>
      </c>
      <c r="F77" s="118" t="s">
        <v>2057</v>
      </c>
    </row>
    <row r="78">
      <c r="A78" s="115" t="s">
        <v>2074</v>
      </c>
      <c r="B78" s="118" t="s">
        <v>2043</v>
      </c>
      <c r="C78" s="118" t="s">
        <v>2051</v>
      </c>
      <c r="D78" s="116" t="s">
        <v>181</v>
      </c>
      <c r="E78" s="119" t="s">
        <v>2060</v>
      </c>
      <c r="F78" s="118" t="s">
        <v>2063</v>
      </c>
    </row>
    <row r="79">
      <c r="A79" s="115" t="s">
        <v>2075</v>
      </c>
      <c r="B79" s="118" t="s">
        <v>2046</v>
      </c>
      <c r="C79" s="118" t="s">
        <v>2054</v>
      </c>
      <c r="D79" s="119" t="s">
        <v>2060</v>
      </c>
      <c r="E79" s="116" t="s">
        <v>181</v>
      </c>
      <c r="F79" s="118" t="s">
        <v>2066</v>
      </c>
    </row>
    <row r="80">
      <c r="A80" s="115" t="s">
        <v>2076</v>
      </c>
      <c r="B80" s="118" t="s">
        <v>2043</v>
      </c>
      <c r="C80" s="118" t="s">
        <v>2057</v>
      </c>
      <c r="D80" s="118" t="s">
        <v>2063</v>
      </c>
      <c r="E80" s="118" t="s">
        <v>2066</v>
      </c>
      <c r="F80" s="116" t="s">
        <v>181</v>
      </c>
    </row>
    <row r="81">
      <c r="A81" s="113"/>
    </row>
    <row r="82">
      <c r="A82" s="106" t="s">
        <v>2077</v>
      </c>
      <c r="B82" s="107"/>
      <c r="C82" s="107"/>
      <c r="D82" s="107"/>
      <c r="E82" s="107"/>
      <c r="F82" s="108"/>
    </row>
    <row r="83">
      <c r="A83" s="114"/>
      <c r="B83" s="109" t="s">
        <v>2072</v>
      </c>
      <c r="C83" s="109" t="s">
        <v>2073</v>
      </c>
      <c r="D83" s="109" t="s">
        <v>2074</v>
      </c>
      <c r="E83" s="109" t="s">
        <v>2075</v>
      </c>
      <c r="F83" s="109" t="s">
        <v>2076</v>
      </c>
    </row>
    <row r="84">
      <c r="A84" s="115" t="s">
        <v>2072</v>
      </c>
      <c r="B84" s="116" t="s">
        <v>181</v>
      </c>
      <c r="C84" s="117" t="s">
        <v>2041</v>
      </c>
      <c r="D84" s="118" t="s">
        <v>2044</v>
      </c>
      <c r="E84" s="118" t="s">
        <v>2047</v>
      </c>
      <c r="F84" s="118" t="s">
        <v>2049</v>
      </c>
    </row>
    <row r="85">
      <c r="A85" s="115" t="s">
        <v>2073</v>
      </c>
      <c r="B85" s="117" t="s">
        <v>2041</v>
      </c>
      <c r="C85" s="116" t="s">
        <v>181</v>
      </c>
      <c r="D85" s="118" t="s">
        <v>2052</v>
      </c>
      <c r="E85" s="118" t="s">
        <v>2055</v>
      </c>
      <c r="F85" s="118" t="s">
        <v>2058</v>
      </c>
    </row>
    <row r="86">
      <c r="A86" s="115" t="s">
        <v>2074</v>
      </c>
      <c r="B86" s="118" t="s">
        <v>2044</v>
      </c>
      <c r="C86" s="118" t="s">
        <v>2052</v>
      </c>
      <c r="D86" s="116" t="s">
        <v>181</v>
      </c>
      <c r="E86" s="119" t="s">
        <v>2061</v>
      </c>
      <c r="F86" s="118" t="s">
        <v>2064</v>
      </c>
    </row>
    <row r="87">
      <c r="A87" s="115" t="s">
        <v>2075</v>
      </c>
      <c r="B87" s="118" t="s">
        <v>2047</v>
      </c>
      <c r="C87" s="118" t="s">
        <v>2055</v>
      </c>
      <c r="D87" s="119" t="s">
        <v>2061</v>
      </c>
      <c r="E87" s="116" t="s">
        <v>181</v>
      </c>
      <c r="F87" s="118" t="s">
        <v>2067</v>
      </c>
    </row>
    <row r="88">
      <c r="A88" s="115" t="s">
        <v>2076</v>
      </c>
      <c r="B88" s="118" t="s">
        <v>2049</v>
      </c>
      <c r="C88" s="118" t="s">
        <v>2058</v>
      </c>
      <c r="D88" s="118" t="s">
        <v>2064</v>
      </c>
      <c r="E88" s="118" t="s">
        <v>2067</v>
      </c>
      <c r="F88" s="116" t="s">
        <v>181</v>
      </c>
    </row>
    <row r="89">
      <c r="A89" s="113"/>
    </row>
    <row r="90">
      <c r="A90" s="120" t="s">
        <v>2078</v>
      </c>
      <c r="B90" s="121"/>
      <c r="C90" s="122"/>
    </row>
    <row r="91">
      <c r="A91" s="123" t="s">
        <v>2002</v>
      </c>
      <c r="B91" s="124" t="s">
        <v>2079</v>
      </c>
      <c r="C91" s="125" t="s">
        <v>2080</v>
      </c>
    </row>
    <row r="92">
      <c r="A92" s="126" t="s">
        <v>2081</v>
      </c>
      <c r="B92" s="127" t="s">
        <v>2069</v>
      </c>
      <c r="C92" s="128" t="s">
        <v>2082</v>
      </c>
    </row>
    <row r="93">
      <c r="A93" s="129" t="s">
        <v>2083</v>
      </c>
      <c r="B93" s="130" t="s">
        <v>2084</v>
      </c>
      <c r="C93" s="131" t="s">
        <v>2085</v>
      </c>
    </row>
    <row r="94">
      <c r="A94" s="126" t="s">
        <v>2086</v>
      </c>
      <c r="B94" s="127" t="s">
        <v>2070</v>
      </c>
      <c r="C94" s="128" t="s">
        <v>2087</v>
      </c>
    </row>
    <row r="95">
      <c r="A95" s="129" t="s">
        <v>2088</v>
      </c>
      <c r="B95" s="130" t="s">
        <v>2089</v>
      </c>
      <c r="C95" s="131" t="s">
        <v>2090</v>
      </c>
    </row>
    <row r="96">
      <c r="A96" s="126" t="s">
        <v>2091</v>
      </c>
      <c r="B96" s="127" t="s">
        <v>2092</v>
      </c>
      <c r="C96" s="128" t="s">
        <v>2093</v>
      </c>
      <c r="F96" s="132"/>
    </row>
    <row r="97">
      <c r="A97" s="113"/>
    </row>
    <row r="98">
      <c r="A98" s="133" t="s">
        <v>2094</v>
      </c>
      <c r="B98" s="107"/>
      <c r="C98" s="107"/>
      <c r="D98" s="108"/>
    </row>
    <row r="99">
      <c r="A99" s="109" t="s">
        <v>2095</v>
      </c>
      <c r="B99" s="109" t="s">
        <v>2096</v>
      </c>
      <c r="C99" s="109" t="s">
        <v>2097</v>
      </c>
      <c r="D99" s="109" t="s">
        <v>2037</v>
      </c>
    </row>
    <row r="100">
      <c r="A100" s="134" t="s">
        <v>45</v>
      </c>
      <c r="B100" s="118">
        <v>290.0</v>
      </c>
      <c r="C100" s="118">
        <v>386.0</v>
      </c>
      <c r="D100" s="135" t="s">
        <v>2098</v>
      </c>
    </row>
    <row r="101">
      <c r="A101" s="134" t="s">
        <v>31</v>
      </c>
      <c r="B101" s="118">
        <v>368.0</v>
      </c>
      <c r="C101" s="118">
        <v>495.0</v>
      </c>
      <c r="D101" s="135" t="s">
        <v>2099</v>
      </c>
    </row>
    <row r="102">
      <c r="A102" s="134" t="s">
        <v>32</v>
      </c>
      <c r="B102" s="118">
        <v>40.0</v>
      </c>
      <c r="C102" s="118">
        <v>79.0</v>
      </c>
      <c r="D102" s="136" t="s">
        <v>2100</v>
      </c>
    </row>
    <row r="103">
      <c r="A103" s="113"/>
    </row>
    <row r="104">
      <c r="A104" s="113"/>
    </row>
    <row r="105">
      <c r="A105" s="113"/>
    </row>
    <row r="106">
      <c r="A106" s="113"/>
    </row>
    <row r="107">
      <c r="A107" s="113"/>
    </row>
    <row r="108">
      <c r="A108" s="113"/>
    </row>
    <row r="109">
      <c r="A109" s="113"/>
    </row>
    <row r="110">
      <c r="A110" s="113"/>
    </row>
    <row r="111">
      <c r="A111" s="113"/>
    </row>
    <row r="112">
      <c r="A112" s="113"/>
    </row>
    <row r="113">
      <c r="A113" s="113"/>
    </row>
    <row r="114">
      <c r="A114" s="113"/>
    </row>
    <row r="115">
      <c r="A115" s="113"/>
    </row>
    <row r="116">
      <c r="A116" s="113"/>
    </row>
    <row r="117">
      <c r="A117" s="113"/>
    </row>
    <row r="118">
      <c r="A118" s="113"/>
    </row>
    <row r="119">
      <c r="A119" s="113"/>
    </row>
    <row r="120">
      <c r="A120" s="113"/>
    </row>
    <row r="121">
      <c r="A121" s="113"/>
    </row>
    <row r="122">
      <c r="A122" s="113"/>
    </row>
    <row r="123">
      <c r="A123" s="113"/>
    </row>
    <row r="124">
      <c r="A124" s="113"/>
    </row>
    <row r="125">
      <c r="A125" s="113"/>
    </row>
    <row r="126">
      <c r="A126" s="113"/>
    </row>
    <row r="127">
      <c r="A127" s="113"/>
    </row>
    <row r="128">
      <c r="A128" s="113"/>
    </row>
    <row r="129">
      <c r="A129" s="113"/>
    </row>
    <row r="130">
      <c r="A130" s="113"/>
    </row>
    <row r="131">
      <c r="A131" s="113"/>
    </row>
    <row r="132">
      <c r="A132" s="113"/>
    </row>
    <row r="133">
      <c r="A133" s="113"/>
    </row>
    <row r="134">
      <c r="A134" s="113"/>
    </row>
    <row r="135">
      <c r="A135" s="113"/>
    </row>
    <row r="136">
      <c r="A136" s="113"/>
    </row>
    <row r="137">
      <c r="A137" s="113"/>
    </row>
    <row r="138">
      <c r="A138" s="113"/>
    </row>
    <row r="139">
      <c r="A139" s="113"/>
    </row>
    <row r="140">
      <c r="A140" s="113"/>
    </row>
    <row r="141">
      <c r="A141" s="113"/>
    </row>
    <row r="142">
      <c r="A142" s="113"/>
    </row>
    <row r="143">
      <c r="A143" s="113"/>
    </row>
    <row r="144">
      <c r="A144" s="113"/>
    </row>
    <row r="145">
      <c r="A145" s="113"/>
    </row>
    <row r="146">
      <c r="A146" s="113"/>
    </row>
    <row r="147">
      <c r="A147" s="113"/>
    </row>
    <row r="148">
      <c r="A148" s="113"/>
    </row>
    <row r="149">
      <c r="A149" s="113"/>
    </row>
    <row r="150">
      <c r="A150" s="113"/>
    </row>
    <row r="151">
      <c r="A151" s="113"/>
    </row>
    <row r="152">
      <c r="A152" s="113"/>
    </row>
    <row r="153">
      <c r="A153" s="113"/>
    </row>
    <row r="154">
      <c r="A154" s="113"/>
    </row>
    <row r="155">
      <c r="A155" s="113"/>
    </row>
    <row r="156">
      <c r="A156" s="113"/>
    </row>
    <row r="157">
      <c r="A157" s="113"/>
    </row>
    <row r="158">
      <c r="A158" s="113"/>
    </row>
    <row r="159">
      <c r="A159" s="113"/>
    </row>
    <row r="160">
      <c r="A160" s="113"/>
    </row>
    <row r="161">
      <c r="A161" s="113"/>
    </row>
    <row r="162">
      <c r="A162" s="113"/>
    </row>
    <row r="163">
      <c r="A163" s="113"/>
    </row>
    <row r="164">
      <c r="A164" s="113"/>
    </row>
    <row r="165">
      <c r="A165" s="113"/>
    </row>
    <row r="166">
      <c r="A166" s="113"/>
    </row>
    <row r="167">
      <c r="A167" s="113"/>
    </row>
    <row r="168">
      <c r="A168" s="113"/>
    </row>
    <row r="169">
      <c r="A169" s="113"/>
    </row>
    <row r="170">
      <c r="A170" s="113"/>
    </row>
    <row r="171">
      <c r="A171" s="113"/>
    </row>
    <row r="172">
      <c r="A172" s="113"/>
    </row>
    <row r="173">
      <c r="A173" s="113"/>
    </row>
    <row r="174">
      <c r="A174" s="113"/>
    </row>
    <row r="175">
      <c r="A175" s="113"/>
    </row>
    <row r="176">
      <c r="A176" s="113"/>
    </row>
    <row r="177">
      <c r="A177" s="113"/>
    </row>
    <row r="178">
      <c r="A178" s="113"/>
    </row>
    <row r="179">
      <c r="A179" s="113"/>
    </row>
    <row r="180">
      <c r="A180" s="113"/>
    </row>
    <row r="181">
      <c r="A181" s="113"/>
    </row>
    <row r="182">
      <c r="A182" s="113"/>
    </row>
    <row r="183">
      <c r="A183" s="113"/>
    </row>
    <row r="184">
      <c r="A184" s="113"/>
    </row>
    <row r="185">
      <c r="A185" s="113"/>
    </row>
    <row r="186">
      <c r="A186" s="113"/>
    </row>
    <row r="187">
      <c r="A187" s="113"/>
    </row>
    <row r="188">
      <c r="A188" s="113"/>
    </row>
    <row r="189">
      <c r="A189" s="113"/>
    </row>
    <row r="190">
      <c r="A190" s="113"/>
    </row>
    <row r="191">
      <c r="A191" s="113"/>
    </row>
    <row r="192">
      <c r="A192" s="113"/>
    </row>
    <row r="193">
      <c r="A193" s="113"/>
    </row>
    <row r="194">
      <c r="A194" s="113"/>
    </row>
    <row r="195">
      <c r="A195" s="113"/>
    </row>
    <row r="196">
      <c r="A196" s="113"/>
    </row>
    <row r="197">
      <c r="A197" s="113"/>
    </row>
    <row r="198">
      <c r="A198" s="113"/>
    </row>
    <row r="199">
      <c r="A199" s="113"/>
    </row>
    <row r="200">
      <c r="A200" s="113"/>
    </row>
    <row r="201">
      <c r="A201" s="113"/>
    </row>
    <row r="202">
      <c r="A202" s="113"/>
    </row>
    <row r="203">
      <c r="A203" s="113"/>
    </row>
    <row r="204">
      <c r="A204" s="113"/>
    </row>
    <row r="205">
      <c r="A205" s="113"/>
    </row>
    <row r="206">
      <c r="A206" s="113"/>
    </row>
    <row r="207">
      <c r="A207" s="113"/>
    </row>
    <row r="208">
      <c r="A208" s="113"/>
    </row>
    <row r="209">
      <c r="A209" s="113"/>
    </row>
    <row r="210">
      <c r="A210" s="113"/>
    </row>
    <row r="211">
      <c r="A211" s="113"/>
    </row>
    <row r="212">
      <c r="A212" s="113"/>
    </row>
    <row r="213">
      <c r="A213" s="113"/>
    </row>
    <row r="214">
      <c r="A214" s="113"/>
    </row>
    <row r="215">
      <c r="A215" s="113"/>
    </row>
    <row r="216">
      <c r="A216" s="113"/>
    </row>
    <row r="217">
      <c r="A217" s="113"/>
    </row>
    <row r="218">
      <c r="A218" s="113"/>
    </row>
    <row r="219">
      <c r="A219" s="113"/>
    </row>
    <row r="220">
      <c r="A220" s="113"/>
    </row>
    <row r="221">
      <c r="A221" s="113"/>
    </row>
    <row r="222">
      <c r="A222" s="113"/>
    </row>
    <row r="223">
      <c r="A223" s="113"/>
    </row>
    <row r="224">
      <c r="A224" s="113"/>
    </row>
    <row r="225">
      <c r="A225" s="113"/>
    </row>
    <row r="226">
      <c r="A226" s="113"/>
    </row>
    <row r="227">
      <c r="A227" s="113"/>
    </row>
    <row r="228">
      <c r="A228" s="113"/>
    </row>
    <row r="229">
      <c r="A229" s="113"/>
    </row>
    <row r="230">
      <c r="A230" s="113"/>
    </row>
    <row r="231">
      <c r="A231" s="113"/>
    </row>
    <row r="232">
      <c r="A232" s="113"/>
    </row>
    <row r="233">
      <c r="A233" s="113"/>
    </row>
    <row r="234">
      <c r="A234" s="113"/>
    </row>
    <row r="235">
      <c r="A235" s="113"/>
    </row>
    <row r="236">
      <c r="A236" s="113"/>
    </row>
    <row r="237">
      <c r="A237" s="113"/>
    </row>
    <row r="238">
      <c r="A238" s="113"/>
    </row>
    <row r="239">
      <c r="A239" s="113"/>
    </row>
    <row r="240">
      <c r="A240" s="113"/>
    </row>
    <row r="241">
      <c r="A241" s="113"/>
    </row>
    <row r="242">
      <c r="A242" s="113"/>
    </row>
    <row r="243">
      <c r="A243" s="113"/>
    </row>
    <row r="244">
      <c r="A244" s="113"/>
    </row>
    <row r="245">
      <c r="A245" s="113"/>
    </row>
    <row r="246">
      <c r="A246" s="113"/>
    </row>
    <row r="247">
      <c r="A247" s="113"/>
    </row>
    <row r="248">
      <c r="A248" s="113"/>
    </row>
    <row r="249">
      <c r="A249" s="113"/>
    </row>
    <row r="250">
      <c r="A250" s="113"/>
    </row>
    <row r="251">
      <c r="A251" s="113"/>
    </row>
    <row r="252">
      <c r="A252" s="113"/>
    </row>
    <row r="253">
      <c r="A253" s="113"/>
    </row>
    <row r="254">
      <c r="A254" s="113"/>
    </row>
    <row r="255">
      <c r="A255" s="113"/>
    </row>
    <row r="256">
      <c r="A256" s="113"/>
    </row>
    <row r="257">
      <c r="A257" s="113"/>
    </row>
    <row r="258">
      <c r="A258" s="113"/>
    </row>
    <row r="259">
      <c r="A259" s="113"/>
    </row>
    <row r="260">
      <c r="A260" s="113"/>
    </row>
    <row r="261">
      <c r="A261" s="113"/>
    </row>
    <row r="262">
      <c r="A262" s="113"/>
    </row>
    <row r="263">
      <c r="A263" s="113"/>
    </row>
    <row r="264">
      <c r="A264" s="113"/>
    </row>
    <row r="265">
      <c r="A265" s="113"/>
    </row>
    <row r="266">
      <c r="A266" s="113"/>
    </row>
    <row r="267">
      <c r="A267" s="113"/>
    </row>
    <row r="268">
      <c r="A268" s="113"/>
    </row>
    <row r="269">
      <c r="A269" s="113"/>
    </row>
    <row r="270">
      <c r="A270" s="113"/>
    </row>
    <row r="271">
      <c r="A271" s="113"/>
    </row>
    <row r="272">
      <c r="A272" s="113"/>
    </row>
    <row r="273">
      <c r="A273" s="113"/>
    </row>
    <row r="274">
      <c r="A274" s="113"/>
    </row>
    <row r="275">
      <c r="A275" s="113"/>
    </row>
    <row r="276">
      <c r="A276" s="113"/>
    </row>
    <row r="277">
      <c r="A277" s="113"/>
    </row>
    <row r="278">
      <c r="A278" s="113"/>
    </row>
    <row r="279">
      <c r="A279" s="113"/>
    </row>
    <row r="280">
      <c r="A280" s="113"/>
    </row>
    <row r="281">
      <c r="A281" s="113"/>
    </row>
    <row r="282">
      <c r="A282" s="113"/>
    </row>
    <row r="283">
      <c r="A283" s="113"/>
    </row>
    <row r="284">
      <c r="A284" s="113"/>
    </row>
    <row r="285">
      <c r="A285" s="113"/>
    </row>
    <row r="286">
      <c r="A286" s="113"/>
    </row>
    <row r="287">
      <c r="A287" s="113"/>
    </row>
    <row r="288">
      <c r="A288" s="113"/>
    </row>
    <row r="289">
      <c r="A289" s="113"/>
    </row>
    <row r="290">
      <c r="A290" s="113"/>
    </row>
    <row r="291">
      <c r="A291" s="113"/>
    </row>
    <row r="292">
      <c r="A292" s="113"/>
    </row>
    <row r="293">
      <c r="A293" s="113"/>
    </row>
    <row r="294">
      <c r="A294" s="113"/>
    </row>
    <row r="295">
      <c r="A295" s="113"/>
    </row>
    <row r="296">
      <c r="A296" s="113"/>
    </row>
    <row r="297">
      <c r="A297" s="113"/>
    </row>
    <row r="298">
      <c r="A298" s="113"/>
    </row>
    <row r="299">
      <c r="A299" s="113"/>
    </row>
    <row r="300">
      <c r="A300" s="113"/>
    </row>
    <row r="301">
      <c r="A301" s="113"/>
    </row>
    <row r="302">
      <c r="A302" s="113"/>
    </row>
    <row r="303">
      <c r="A303" s="113"/>
    </row>
    <row r="304">
      <c r="A304" s="113"/>
    </row>
    <row r="305">
      <c r="A305" s="113"/>
    </row>
    <row r="306">
      <c r="A306" s="113"/>
    </row>
    <row r="307">
      <c r="A307" s="113"/>
    </row>
    <row r="308">
      <c r="A308" s="113"/>
    </row>
    <row r="309">
      <c r="A309" s="113"/>
    </row>
    <row r="310">
      <c r="A310" s="113"/>
    </row>
    <row r="311">
      <c r="A311" s="113"/>
    </row>
    <row r="312">
      <c r="A312" s="113"/>
    </row>
    <row r="313">
      <c r="A313" s="113"/>
    </row>
    <row r="314">
      <c r="A314" s="113"/>
    </row>
    <row r="315">
      <c r="A315" s="113"/>
    </row>
    <row r="316">
      <c r="A316" s="113"/>
    </row>
    <row r="317">
      <c r="A317" s="113"/>
    </row>
    <row r="318">
      <c r="A318" s="113"/>
    </row>
    <row r="319">
      <c r="A319" s="113"/>
    </row>
    <row r="320">
      <c r="A320" s="113"/>
    </row>
    <row r="321">
      <c r="A321" s="113"/>
    </row>
    <row r="322">
      <c r="A322" s="113"/>
    </row>
    <row r="323">
      <c r="A323" s="113"/>
    </row>
    <row r="324">
      <c r="A324" s="113"/>
    </row>
    <row r="325">
      <c r="A325" s="113"/>
    </row>
    <row r="326">
      <c r="A326" s="113"/>
    </row>
    <row r="327">
      <c r="A327" s="113"/>
    </row>
    <row r="328">
      <c r="A328" s="113"/>
    </row>
    <row r="329">
      <c r="A329" s="113"/>
    </row>
    <row r="330">
      <c r="A330" s="113"/>
    </row>
    <row r="331">
      <c r="A331" s="113"/>
    </row>
    <row r="332">
      <c r="A332" s="113"/>
    </row>
    <row r="333">
      <c r="A333" s="113"/>
    </row>
    <row r="334">
      <c r="A334" s="113"/>
    </row>
    <row r="335">
      <c r="A335" s="113"/>
    </row>
    <row r="336">
      <c r="A336" s="113"/>
    </row>
    <row r="337">
      <c r="A337" s="113"/>
    </row>
    <row r="338">
      <c r="A338" s="113"/>
    </row>
    <row r="339">
      <c r="A339" s="113"/>
    </row>
    <row r="340">
      <c r="A340" s="113"/>
    </row>
    <row r="341">
      <c r="A341" s="113"/>
    </row>
    <row r="342">
      <c r="A342" s="113"/>
    </row>
    <row r="343">
      <c r="A343" s="113"/>
    </row>
    <row r="344">
      <c r="A344" s="113"/>
    </row>
    <row r="345">
      <c r="A345" s="113"/>
    </row>
    <row r="346">
      <c r="A346" s="113"/>
    </row>
    <row r="347">
      <c r="A347" s="113"/>
    </row>
    <row r="348">
      <c r="A348" s="113"/>
    </row>
    <row r="349">
      <c r="A349" s="113"/>
    </row>
    <row r="350">
      <c r="A350" s="113"/>
    </row>
    <row r="351">
      <c r="A351" s="113"/>
    </row>
    <row r="352">
      <c r="A352" s="113"/>
    </row>
    <row r="353">
      <c r="A353" s="113"/>
    </row>
    <row r="354">
      <c r="A354" s="113"/>
    </row>
    <row r="355">
      <c r="A355" s="113"/>
    </row>
    <row r="356">
      <c r="A356" s="113"/>
    </row>
    <row r="357">
      <c r="A357" s="113"/>
    </row>
    <row r="358">
      <c r="A358" s="113"/>
    </row>
    <row r="359">
      <c r="A359" s="113"/>
    </row>
    <row r="360">
      <c r="A360" s="113"/>
    </row>
    <row r="361">
      <c r="A361" s="113"/>
    </row>
    <row r="362">
      <c r="A362" s="113"/>
    </row>
    <row r="363">
      <c r="A363" s="113"/>
    </row>
    <row r="364">
      <c r="A364" s="113"/>
    </row>
    <row r="365">
      <c r="A365" s="113"/>
    </row>
    <row r="366">
      <c r="A366" s="113"/>
    </row>
    <row r="367">
      <c r="A367" s="113"/>
    </row>
    <row r="368">
      <c r="A368" s="113"/>
    </row>
    <row r="369">
      <c r="A369" s="113"/>
    </row>
    <row r="370">
      <c r="A370" s="113"/>
    </row>
    <row r="371">
      <c r="A371" s="113"/>
    </row>
    <row r="372">
      <c r="A372" s="113"/>
    </row>
    <row r="373">
      <c r="A373" s="113"/>
    </row>
    <row r="374">
      <c r="A374" s="113"/>
    </row>
    <row r="375">
      <c r="A375" s="113"/>
    </row>
    <row r="376">
      <c r="A376" s="113"/>
    </row>
    <row r="377">
      <c r="A377" s="113"/>
    </row>
    <row r="378">
      <c r="A378" s="113"/>
    </row>
    <row r="379">
      <c r="A379" s="113"/>
    </row>
    <row r="380">
      <c r="A380" s="113"/>
    </row>
    <row r="381">
      <c r="A381" s="113"/>
    </row>
    <row r="382">
      <c r="A382" s="113"/>
    </row>
    <row r="383">
      <c r="A383" s="113"/>
    </row>
    <row r="384">
      <c r="A384" s="113"/>
    </row>
    <row r="385">
      <c r="A385" s="113"/>
    </row>
    <row r="386">
      <c r="A386" s="113"/>
    </row>
    <row r="387">
      <c r="A387" s="113"/>
    </row>
    <row r="388">
      <c r="A388" s="113"/>
    </row>
    <row r="389">
      <c r="A389" s="113"/>
    </row>
    <row r="390">
      <c r="A390" s="113"/>
    </row>
    <row r="391">
      <c r="A391" s="113"/>
    </row>
    <row r="392">
      <c r="A392" s="113"/>
    </row>
    <row r="393">
      <c r="A393" s="113"/>
    </row>
    <row r="394">
      <c r="A394" s="113"/>
    </row>
    <row r="395">
      <c r="A395" s="113"/>
    </row>
    <row r="396">
      <c r="A396" s="113"/>
    </row>
    <row r="397">
      <c r="A397" s="113"/>
    </row>
    <row r="398">
      <c r="A398" s="113"/>
    </row>
    <row r="399">
      <c r="A399" s="113"/>
    </row>
    <row r="400">
      <c r="A400" s="113"/>
    </row>
    <row r="401">
      <c r="A401" s="113"/>
    </row>
    <row r="402">
      <c r="A402" s="113"/>
    </row>
    <row r="403">
      <c r="A403" s="113"/>
    </row>
    <row r="404">
      <c r="A404" s="113"/>
    </row>
    <row r="405">
      <c r="A405" s="113"/>
    </row>
    <row r="406">
      <c r="A406" s="113"/>
    </row>
    <row r="407">
      <c r="A407" s="113"/>
    </row>
    <row r="408">
      <c r="A408" s="113"/>
    </row>
    <row r="409">
      <c r="A409" s="113"/>
    </row>
    <row r="410">
      <c r="A410" s="113"/>
    </row>
    <row r="411">
      <c r="A411" s="113"/>
    </row>
    <row r="412">
      <c r="A412" s="113"/>
    </row>
    <row r="413">
      <c r="A413" s="113"/>
    </row>
    <row r="414">
      <c r="A414" s="113"/>
    </row>
    <row r="415">
      <c r="A415" s="113"/>
    </row>
    <row r="416">
      <c r="A416" s="113"/>
    </row>
    <row r="417">
      <c r="A417" s="113"/>
    </row>
    <row r="418">
      <c r="A418" s="113"/>
    </row>
    <row r="419">
      <c r="A419" s="113"/>
    </row>
    <row r="420">
      <c r="A420" s="113"/>
    </row>
    <row r="421">
      <c r="A421" s="113"/>
    </row>
    <row r="422">
      <c r="A422" s="113"/>
    </row>
    <row r="423">
      <c r="A423" s="113"/>
    </row>
    <row r="424">
      <c r="A424" s="113"/>
    </row>
    <row r="425">
      <c r="A425" s="113"/>
    </row>
    <row r="426">
      <c r="A426" s="113"/>
    </row>
    <row r="427">
      <c r="A427" s="113"/>
    </row>
    <row r="428">
      <c r="A428" s="113"/>
    </row>
    <row r="429">
      <c r="A429" s="113"/>
    </row>
    <row r="430">
      <c r="A430" s="113"/>
    </row>
    <row r="431">
      <c r="A431" s="113"/>
    </row>
    <row r="432">
      <c r="A432" s="113"/>
    </row>
    <row r="433">
      <c r="A433" s="113"/>
    </row>
    <row r="434">
      <c r="A434" s="113"/>
    </row>
    <row r="435">
      <c r="A435" s="113"/>
    </row>
    <row r="436">
      <c r="A436" s="113"/>
    </row>
    <row r="437">
      <c r="A437" s="113"/>
    </row>
    <row r="438">
      <c r="A438" s="113"/>
    </row>
    <row r="439">
      <c r="A439" s="113"/>
    </row>
    <row r="440">
      <c r="A440" s="113"/>
    </row>
    <row r="441">
      <c r="A441" s="113"/>
    </row>
    <row r="442">
      <c r="A442" s="113"/>
    </row>
    <row r="443">
      <c r="A443" s="113"/>
    </row>
    <row r="444">
      <c r="A444" s="113"/>
    </row>
    <row r="445">
      <c r="A445" s="113"/>
    </row>
    <row r="446">
      <c r="A446" s="113"/>
    </row>
    <row r="447">
      <c r="A447" s="113"/>
    </row>
    <row r="448">
      <c r="A448" s="113"/>
    </row>
    <row r="449">
      <c r="A449" s="113"/>
    </row>
    <row r="450">
      <c r="A450" s="113"/>
    </row>
    <row r="451">
      <c r="A451" s="113"/>
    </row>
    <row r="452">
      <c r="A452" s="113"/>
    </row>
    <row r="453">
      <c r="A453" s="113"/>
    </row>
    <row r="454">
      <c r="A454" s="113"/>
    </row>
    <row r="455">
      <c r="A455" s="113"/>
    </row>
    <row r="456">
      <c r="A456" s="113"/>
    </row>
    <row r="457">
      <c r="A457" s="113"/>
    </row>
    <row r="458">
      <c r="A458" s="113"/>
    </row>
    <row r="459">
      <c r="A459" s="113"/>
    </row>
    <row r="460">
      <c r="A460" s="113"/>
    </row>
    <row r="461">
      <c r="A461" s="113"/>
    </row>
    <row r="462">
      <c r="A462" s="113"/>
    </row>
    <row r="463">
      <c r="A463" s="113"/>
    </row>
    <row r="464">
      <c r="A464" s="113"/>
    </row>
    <row r="465">
      <c r="A465" s="113"/>
    </row>
    <row r="466">
      <c r="A466" s="113"/>
    </row>
    <row r="467">
      <c r="A467" s="113"/>
    </row>
    <row r="468">
      <c r="A468" s="113"/>
    </row>
    <row r="469">
      <c r="A469" s="113"/>
    </row>
    <row r="470">
      <c r="A470" s="113"/>
    </row>
    <row r="471">
      <c r="A471" s="113"/>
    </row>
    <row r="472">
      <c r="A472" s="113"/>
    </row>
    <row r="473">
      <c r="A473" s="113"/>
    </row>
    <row r="474">
      <c r="A474" s="113"/>
    </row>
    <row r="475">
      <c r="A475" s="113"/>
    </row>
    <row r="476">
      <c r="A476" s="113"/>
    </row>
    <row r="477">
      <c r="A477" s="113"/>
    </row>
    <row r="478">
      <c r="A478" s="113"/>
    </row>
    <row r="479">
      <c r="A479" s="113"/>
    </row>
    <row r="480">
      <c r="A480" s="113"/>
    </row>
    <row r="481">
      <c r="A481" s="113"/>
    </row>
    <row r="482">
      <c r="A482" s="113"/>
    </row>
    <row r="483">
      <c r="A483" s="113"/>
    </row>
    <row r="484">
      <c r="A484" s="113"/>
    </row>
    <row r="485">
      <c r="A485" s="113"/>
    </row>
    <row r="486">
      <c r="A486" s="113"/>
    </row>
    <row r="487">
      <c r="A487" s="113"/>
    </row>
    <row r="488">
      <c r="A488" s="113"/>
    </row>
    <row r="489">
      <c r="A489" s="113"/>
    </row>
    <row r="490">
      <c r="A490" s="113"/>
    </row>
    <row r="491">
      <c r="A491" s="113"/>
    </row>
    <row r="492">
      <c r="A492" s="113"/>
    </row>
    <row r="493">
      <c r="A493" s="113"/>
    </row>
    <row r="494">
      <c r="A494" s="113"/>
    </row>
    <row r="495">
      <c r="A495" s="113"/>
    </row>
    <row r="496">
      <c r="A496" s="113"/>
    </row>
    <row r="497">
      <c r="A497" s="113"/>
    </row>
    <row r="498">
      <c r="A498" s="113"/>
    </row>
    <row r="499">
      <c r="A499" s="113"/>
    </row>
    <row r="500">
      <c r="A500" s="113"/>
    </row>
    <row r="501">
      <c r="A501" s="113"/>
    </row>
    <row r="502">
      <c r="A502" s="113"/>
    </row>
    <row r="503">
      <c r="A503" s="113"/>
    </row>
    <row r="504">
      <c r="A504" s="113"/>
    </row>
    <row r="505">
      <c r="A505" s="113"/>
    </row>
    <row r="506">
      <c r="A506" s="113"/>
    </row>
    <row r="507">
      <c r="A507" s="113"/>
    </row>
    <row r="508">
      <c r="A508" s="113"/>
    </row>
    <row r="509">
      <c r="A509" s="113"/>
    </row>
    <row r="510">
      <c r="A510" s="113"/>
    </row>
    <row r="511">
      <c r="A511" s="113"/>
    </row>
    <row r="512">
      <c r="A512" s="113"/>
    </row>
    <row r="513">
      <c r="A513" s="113"/>
    </row>
    <row r="514">
      <c r="A514" s="113"/>
    </row>
    <row r="515">
      <c r="A515" s="113"/>
    </row>
    <row r="516">
      <c r="A516" s="113"/>
    </row>
    <row r="517">
      <c r="A517" s="113"/>
    </row>
    <row r="518">
      <c r="A518" s="113"/>
    </row>
    <row r="519">
      <c r="A519" s="113"/>
    </row>
    <row r="520">
      <c r="A520" s="113"/>
    </row>
    <row r="521">
      <c r="A521" s="113"/>
    </row>
    <row r="522">
      <c r="A522" s="113"/>
    </row>
    <row r="523">
      <c r="A523" s="113"/>
    </row>
    <row r="524">
      <c r="A524" s="113"/>
    </row>
    <row r="525">
      <c r="A525" s="113"/>
    </row>
    <row r="526">
      <c r="A526" s="113"/>
    </row>
    <row r="527">
      <c r="A527" s="113"/>
    </row>
    <row r="528">
      <c r="A528" s="113"/>
    </row>
    <row r="529">
      <c r="A529" s="113"/>
    </row>
    <row r="530">
      <c r="A530" s="113"/>
    </row>
    <row r="531">
      <c r="A531" s="113"/>
    </row>
    <row r="532">
      <c r="A532" s="113"/>
    </row>
    <row r="533">
      <c r="A533" s="113"/>
    </row>
    <row r="534">
      <c r="A534" s="113"/>
    </row>
    <row r="535">
      <c r="A535" s="113"/>
    </row>
    <row r="536">
      <c r="A536" s="113"/>
    </row>
    <row r="537">
      <c r="A537" s="113"/>
    </row>
    <row r="538">
      <c r="A538" s="113"/>
    </row>
    <row r="539">
      <c r="A539" s="113"/>
    </row>
    <row r="540">
      <c r="A540" s="113"/>
    </row>
    <row r="541">
      <c r="A541" s="113"/>
    </row>
    <row r="542">
      <c r="A542" s="113"/>
    </row>
    <row r="543">
      <c r="A543" s="113"/>
    </row>
    <row r="544">
      <c r="A544" s="113"/>
    </row>
    <row r="545">
      <c r="A545" s="113"/>
    </row>
    <row r="546">
      <c r="A546" s="113"/>
    </row>
    <row r="547">
      <c r="A547" s="113"/>
    </row>
    <row r="548">
      <c r="A548" s="113"/>
    </row>
    <row r="549">
      <c r="A549" s="113"/>
    </row>
    <row r="550">
      <c r="A550" s="113"/>
    </row>
    <row r="551">
      <c r="A551" s="113"/>
    </row>
    <row r="552">
      <c r="A552" s="113"/>
    </row>
    <row r="553">
      <c r="A553" s="113"/>
    </row>
    <row r="554">
      <c r="A554" s="113"/>
    </row>
    <row r="555">
      <c r="A555" s="113"/>
    </row>
    <row r="556">
      <c r="A556" s="113"/>
    </row>
    <row r="557">
      <c r="A557" s="113"/>
    </row>
    <row r="558">
      <c r="A558" s="113"/>
    </row>
    <row r="559">
      <c r="A559" s="113"/>
    </row>
    <row r="560">
      <c r="A560" s="113"/>
    </row>
    <row r="561">
      <c r="A561" s="113"/>
    </row>
    <row r="562">
      <c r="A562" s="113"/>
    </row>
    <row r="563">
      <c r="A563" s="113"/>
    </row>
    <row r="564">
      <c r="A564" s="113"/>
    </row>
    <row r="565">
      <c r="A565" s="113"/>
    </row>
    <row r="566">
      <c r="A566" s="113"/>
    </row>
    <row r="567">
      <c r="A567" s="113"/>
    </row>
    <row r="568">
      <c r="A568" s="113"/>
    </row>
    <row r="569">
      <c r="A569" s="113"/>
    </row>
    <row r="570">
      <c r="A570" s="113"/>
    </row>
    <row r="571">
      <c r="A571" s="113"/>
    </row>
    <row r="572">
      <c r="A572" s="113"/>
    </row>
    <row r="573">
      <c r="A573" s="113"/>
    </row>
    <row r="574">
      <c r="A574" s="113"/>
    </row>
    <row r="575">
      <c r="A575" s="113"/>
    </row>
    <row r="576">
      <c r="A576" s="113"/>
    </row>
    <row r="577">
      <c r="A577" s="113"/>
    </row>
    <row r="578">
      <c r="A578" s="113"/>
    </row>
    <row r="579">
      <c r="A579" s="113"/>
    </row>
    <row r="580">
      <c r="A580" s="113"/>
    </row>
    <row r="581">
      <c r="A581" s="113"/>
    </row>
    <row r="582">
      <c r="A582" s="113"/>
    </row>
    <row r="583">
      <c r="A583" s="113"/>
    </row>
    <row r="584">
      <c r="A584" s="113"/>
    </row>
    <row r="585">
      <c r="A585" s="113"/>
    </row>
    <row r="586">
      <c r="A586" s="113"/>
    </row>
    <row r="587">
      <c r="A587" s="113"/>
    </row>
    <row r="588">
      <c r="A588" s="113"/>
    </row>
    <row r="589">
      <c r="A589" s="113"/>
    </row>
    <row r="590">
      <c r="A590" s="113"/>
    </row>
    <row r="591">
      <c r="A591" s="113"/>
    </row>
    <row r="592">
      <c r="A592" s="113"/>
    </row>
    <row r="593">
      <c r="A593" s="113"/>
    </row>
    <row r="594">
      <c r="A594" s="113"/>
    </row>
    <row r="595">
      <c r="A595" s="113"/>
    </row>
    <row r="596">
      <c r="A596" s="113"/>
    </row>
    <row r="597">
      <c r="A597" s="113"/>
    </row>
    <row r="598">
      <c r="A598" s="113"/>
    </row>
    <row r="599">
      <c r="A599" s="113"/>
    </row>
    <row r="600">
      <c r="A600" s="113"/>
    </row>
    <row r="601">
      <c r="A601" s="113"/>
    </row>
    <row r="602">
      <c r="A602" s="113"/>
    </row>
    <row r="603">
      <c r="A603" s="113"/>
    </row>
    <row r="604">
      <c r="A604" s="113"/>
    </row>
    <row r="605">
      <c r="A605" s="113"/>
    </row>
    <row r="606">
      <c r="A606" s="113"/>
    </row>
    <row r="607">
      <c r="A607" s="113"/>
    </row>
    <row r="608">
      <c r="A608" s="113"/>
    </row>
    <row r="609">
      <c r="A609" s="113"/>
    </row>
    <row r="610">
      <c r="A610" s="113"/>
    </row>
    <row r="611">
      <c r="A611" s="113"/>
    </row>
    <row r="612">
      <c r="A612" s="113"/>
    </row>
    <row r="613">
      <c r="A613" s="113"/>
    </row>
    <row r="614">
      <c r="A614" s="113"/>
    </row>
    <row r="615">
      <c r="A615" s="113"/>
    </row>
    <row r="616">
      <c r="A616" s="113"/>
    </row>
    <row r="617">
      <c r="A617" s="113"/>
    </row>
    <row r="618">
      <c r="A618" s="113"/>
    </row>
    <row r="619">
      <c r="A619" s="113"/>
    </row>
    <row r="620">
      <c r="A620" s="113"/>
    </row>
    <row r="621">
      <c r="A621" s="113"/>
    </row>
    <row r="622">
      <c r="A622" s="113"/>
    </row>
    <row r="623">
      <c r="A623" s="113"/>
    </row>
    <row r="624">
      <c r="A624" s="113"/>
    </row>
    <row r="625">
      <c r="A625" s="113"/>
    </row>
    <row r="626">
      <c r="A626" s="113"/>
    </row>
    <row r="627">
      <c r="A627" s="113"/>
    </row>
    <row r="628">
      <c r="A628" s="113"/>
    </row>
    <row r="629">
      <c r="A629" s="113"/>
    </row>
    <row r="630">
      <c r="A630" s="113"/>
    </row>
    <row r="631">
      <c r="A631" s="113"/>
    </row>
    <row r="632">
      <c r="A632" s="113"/>
    </row>
    <row r="633">
      <c r="A633" s="113"/>
    </row>
    <row r="634">
      <c r="A634" s="113"/>
    </row>
    <row r="635">
      <c r="A635" s="113"/>
    </row>
    <row r="636">
      <c r="A636" s="113"/>
    </row>
    <row r="637">
      <c r="A637" s="113"/>
    </row>
    <row r="638">
      <c r="A638" s="113"/>
    </row>
    <row r="639">
      <c r="A639" s="113"/>
    </row>
    <row r="640">
      <c r="A640" s="113"/>
    </row>
    <row r="641">
      <c r="A641" s="113"/>
    </row>
    <row r="642">
      <c r="A642" s="113"/>
    </row>
    <row r="643">
      <c r="A643" s="113"/>
    </row>
    <row r="644">
      <c r="A644" s="113"/>
    </row>
    <row r="645">
      <c r="A645" s="113"/>
    </row>
    <row r="646">
      <c r="A646" s="113"/>
    </row>
    <row r="647">
      <c r="A647" s="113"/>
    </row>
    <row r="648">
      <c r="A648" s="113"/>
    </row>
    <row r="649">
      <c r="A649" s="113"/>
    </row>
    <row r="650">
      <c r="A650" s="113"/>
    </row>
    <row r="651">
      <c r="A651" s="113"/>
    </row>
    <row r="652">
      <c r="A652" s="113"/>
    </row>
    <row r="653">
      <c r="A653" s="113"/>
    </row>
    <row r="654">
      <c r="A654" s="113"/>
    </row>
    <row r="655">
      <c r="A655" s="113"/>
    </row>
    <row r="656">
      <c r="A656" s="113"/>
    </row>
    <row r="657">
      <c r="A657" s="113"/>
    </row>
    <row r="658">
      <c r="A658" s="113"/>
    </row>
    <row r="659">
      <c r="A659" s="113"/>
    </row>
    <row r="660">
      <c r="A660" s="113"/>
    </row>
    <row r="661">
      <c r="A661" s="113"/>
    </row>
    <row r="662">
      <c r="A662" s="113"/>
    </row>
    <row r="663">
      <c r="A663" s="113"/>
    </row>
    <row r="664">
      <c r="A664" s="113"/>
    </row>
    <row r="665">
      <c r="A665" s="113"/>
    </row>
    <row r="666">
      <c r="A666" s="113"/>
    </row>
    <row r="667">
      <c r="A667" s="113"/>
    </row>
    <row r="668">
      <c r="A668" s="113"/>
    </row>
    <row r="669">
      <c r="A669" s="113"/>
    </row>
    <row r="670">
      <c r="A670" s="113"/>
    </row>
    <row r="671">
      <c r="A671" s="113"/>
    </row>
    <row r="672">
      <c r="A672" s="113"/>
    </row>
    <row r="673">
      <c r="A673" s="113"/>
    </row>
    <row r="674">
      <c r="A674" s="113"/>
    </row>
    <row r="675">
      <c r="A675" s="113"/>
    </row>
    <row r="676">
      <c r="A676" s="113"/>
    </row>
    <row r="677">
      <c r="A677" s="113"/>
    </row>
    <row r="678">
      <c r="A678" s="113"/>
    </row>
    <row r="679">
      <c r="A679" s="113"/>
    </row>
    <row r="680">
      <c r="A680" s="113"/>
    </row>
    <row r="681">
      <c r="A681" s="113"/>
    </row>
    <row r="682">
      <c r="A682" s="113"/>
    </row>
    <row r="683">
      <c r="A683" s="113"/>
    </row>
    <row r="684">
      <c r="A684" s="113"/>
    </row>
    <row r="685">
      <c r="A685" s="113"/>
    </row>
    <row r="686">
      <c r="A686" s="113"/>
    </row>
    <row r="687">
      <c r="A687" s="113"/>
    </row>
    <row r="688">
      <c r="A688" s="113"/>
    </row>
    <row r="689">
      <c r="A689" s="113"/>
    </row>
    <row r="690">
      <c r="A690" s="113"/>
    </row>
    <row r="691">
      <c r="A691" s="113"/>
    </row>
    <row r="692">
      <c r="A692" s="113"/>
    </row>
    <row r="693">
      <c r="A693" s="113"/>
    </row>
    <row r="694">
      <c r="A694" s="113"/>
    </row>
    <row r="695">
      <c r="A695" s="113"/>
    </row>
    <row r="696">
      <c r="A696" s="113"/>
    </row>
    <row r="697">
      <c r="A697" s="113"/>
    </row>
    <row r="698">
      <c r="A698" s="113"/>
    </row>
    <row r="699">
      <c r="A699" s="113"/>
    </row>
    <row r="700">
      <c r="A700" s="113"/>
    </row>
    <row r="701">
      <c r="A701" s="113"/>
    </row>
    <row r="702">
      <c r="A702" s="113"/>
    </row>
    <row r="703">
      <c r="A703" s="113"/>
    </row>
    <row r="704">
      <c r="A704" s="113"/>
    </row>
    <row r="705">
      <c r="A705" s="113"/>
    </row>
    <row r="706">
      <c r="A706" s="113"/>
    </row>
    <row r="707">
      <c r="A707" s="113"/>
    </row>
    <row r="708">
      <c r="A708" s="113"/>
    </row>
    <row r="709">
      <c r="A709" s="113"/>
    </row>
    <row r="710">
      <c r="A710" s="113"/>
    </row>
    <row r="711">
      <c r="A711" s="113"/>
    </row>
    <row r="712">
      <c r="A712" s="113"/>
    </row>
    <row r="713">
      <c r="A713" s="113"/>
    </row>
    <row r="714">
      <c r="A714" s="113"/>
    </row>
    <row r="715">
      <c r="A715" s="113"/>
    </row>
    <row r="716">
      <c r="A716" s="113"/>
    </row>
    <row r="717">
      <c r="A717" s="113"/>
    </row>
    <row r="718">
      <c r="A718" s="113"/>
    </row>
    <row r="719">
      <c r="A719" s="113"/>
    </row>
    <row r="720">
      <c r="A720" s="113"/>
    </row>
    <row r="721">
      <c r="A721" s="113"/>
    </row>
    <row r="722">
      <c r="A722" s="113"/>
    </row>
    <row r="723">
      <c r="A723" s="113"/>
    </row>
    <row r="724">
      <c r="A724" s="113"/>
    </row>
    <row r="725">
      <c r="A725" s="113"/>
    </row>
    <row r="726">
      <c r="A726" s="113"/>
    </row>
    <row r="727">
      <c r="A727" s="113"/>
    </row>
    <row r="728">
      <c r="A728" s="113"/>
    </row>
    <row r="729">
      <c r="A729" s="113"/>
    </row>
    <row r="730">
      <c r="A730" s="113"/>
    </row>
    <row r="731">
      <c r="A731" s="113"/>
    </row>
    <row r="732">
      <c r="A732" s="113"/>
    </row>
    <row r="733">
      <c r="A733" s="113"/>
    </row>
    <row r="734">
      <c r="A734" s="113"/>
    </row>
    <row r="735">
      <c r="A735" s="113"/>
    </row>
    <row r="736">
      <c r="A736" s="113"/>
    </row>
    <row r="737">
      <c r="A737" s="113"/>
    </row>
    <row r="738">
      <c r="A738" s="113"/>
    </row>
    <row r="739">
      <c r="A739" s="113"/>
    </row>
    <row r="740">
      <c r="A740" s="113"/>
    </row>
    <row r="741">
      <c r="A741" s="113"/>
    </row>
    <row r="742">
      <c r="A742" s="113"/>
    </row>
    <row r="743">
      <c r="A743" s="113"/>
    </row>
    <row r="744">
      <c r="A744" s="113"/>
    </row>
    <row r="745">
      <c r="A745" s="113"/>
    </row>
    <row r="746">
      <c r="A746" s="113"/>
    </row>
    <row r="747">
      <c r="A747" s="113"/>
    </row>
    <row r="748">
      <c r="A748" s="113"/>
    </row>
    <row r="749">
      <c r="A749" s="113"/>
    </row>
    <row r="750">
      <c r="A750" s="113"/>
    </row>
    <row r="751">
      <c r="A751" s="113"/>
    </row>
    <row r="752">
      <c r="A752" s="113"/>
    </row>
    <row r="753">
      <c r="A753" s="113"/>
    </row>
    <row r="754">
      <c r="A754" s="113"/>
    </row>
    <row r="755">
      <c r="A755" s="113"/>
    </row>
    <row r="756">
      <c r="A756" s="113"/>
    </row>
    <row r="757">
      <c r="A757" s="113"/>
    </row>
    <row r="758">
      <c r="A758" s="113"/>
    </row>
    <row r="759">
      <c r="A759" s="113"/>
    </row>
    <row r="760">
      <c r="A760" s="113"/>
    </row>
    <row r="761">
      <c r="A761" s="113"/>
    </row>
    <row r="762">
      <c r="A762" s="113"/>
    </row>
    <row r="763">
      <c r="A763" s="113"/>
    </row>
    <row r="764">
      <c r="A764" s="113"/>
    </row>
    <row r="765">
      <c r="A765" s="113"/>
    </row>
    <row r="766">
      <c r="A766" s="113"/>
    </row>
    <row r="767">
      <c r="A767" s="113"/>
    </row>
    <row r="768">
      <c r="A768" s="113"/>
    </row>
    <row r="769">
      <c r="A769" s="113"/>
    </row>
    <row r="770">
      <c r="A770" s="113"/>
    </row>
    <row r="771">
      <c r="A771" s="113"/>
    </row>
    <row r="772">
      <c r="A772" s="113"/>
    </row>
    <row r="773">
      <c r="A773" s="113"/>
    </row>
    <row r="774">
      <c r="A774" s="113"/>
    </row>
    <row r="775">
      <c r="A775" s="113"/>
    </row>
    <row r="776">
      <c r="A776" s="113"/>
    </row>
    <row r="777">
      <c r="A777" s="113"/>
    </row>
    <row r="778">
      <c r="A778" s="113"/>
    </row>
    <row r="779">
      <c r="A779" s="113"/>
    </row>
    <row r="780">
      <c r="A780" s="113"/>
    </row>
    <row r="781">
      <c r="A781" s="113"/>
    </row>
    <row r="782">
      <c r="A782" s="113"/>
    </row>
    <row r="783">
      <c r="A783" s="113"/>
    </row>
    <row r="784">
      <c r="A784" s="113"/>
    </row>
    <row r="785">
      <c r="A785" s="113"/>
    </row>
    <row r="786">
      <c r="A786" s="113"/>
    </row>
    <row r="787">
      <c r="A787" s="113"/>
    </row>
    <row r="788">
      <c r="A788" s="113"/>
    </row>
    <row r="789">
      <c r="A789" s="113"/>
    </row>
    <row r="790">
      <c r="A790" s="113"/>
    </row>
    <row r="791">
      <c r="A791" s="113"/>
    </row>
    <row r="792">
      <c r="A792" s="113"/>
    </row>
    <row r="793">
      <c r="A793" s="113"/>
    </row>
    <row r="794">
      <c r="A794" s="113"/>
    </row>
    <row r="795">
      <c r="A795" s="113"/>
    </row>
    <row r="796">
      <c r="A796" s="113"/>
    </row>
    <row r="797">
      <c r="A797" s="113"/>
    </row>
    <row r="798">
      <c r="A798" s="113"/>
    </row>
    <row r="799">
      <c r="A799" s="113"/>
    </row>
    <row r="800">
      <c r="A800" s="113"/>
    </row>
    <row r="801">
      <c r="A801" s="113"/>
    </row>
    <row r="802">
      <c r="A802" s="113"/>
    </row>
    <row r="803">
      <c r="A803" s="113"/>
    </row>
    <row r="804">
      <c r="A804" s="113"/>
    </row>
    <row r="805">
      <c r="A805" s="113"/>
    </row>
    <row r="806">
      <c r="A806" s="113"/>
    </row>
    <row r="807">
      <c r="A807" s="113"/>
    </row>
    <row r="808">
      <c r="A808" s="113"/>
    </row>
    <row r="809">
      <c r="A809" s="113"/>
    </row>
    <row r="810">
      <c r="A810" s="113"/>
    </row>
    <row r="811">
      <c r="A811" s="113"/>
    </row>
    <row r="812">
      <c r="A812" s="113"/>
    </row>
    <row r="813">
      <c r="A813" s="113"/>
    </row>
    <row r="814">
      <c r="A814" s="113"/>
    </row>
    <row r="815">
      <c r="A815" s="113"/>
    </row>
    <row r="816">
      <c r="A816" s="113"/>
    </row>
    <row r="817">
      <c r="A817" s="113"/>
    </row>
    <row r="818">
      <c r="A818" s="113"/>
    </row>
    <row r="819">
      <c r="A819" s="113"/>
    </row>
    <row r="820">
      <c r="A820" s="113"/>
    </row>
    <row r="821">
      <c r="A821" s="113"/>
    </row>
    <row r="822">
      <c r="A822" s="113"/>
    </row>
    <row r="823">
      <c r="A823" s="113"/>
    </row>
    <row r="824">
      <c r="A824" s="113"/>
    </row>
    <row r="825">
      <c r="A825" s="113"/>
    </row>
    <row r="826">
      <c r="A826" s="113"/>
    </row>
    <row r="827">
      <c r="A827" s="113"/>
    </row>
    <row r="828">
      <c r="A828" s="113"/>
    </row>
    <row r="829">
      <c r="A829" s="113"/>
    </row>
    <row r="830">
      <c r="A830" s="113"/>
    </row>
    <row r="831">
      <c r="A831" s="113"/>
    </row>
    <row r="832">
      <c r="A832" s="113"/>
    </row>
    <row r="833">
      <c r="A833" s="113"/>
    </row>
    <row r="834">
      <c r="A834" s="113"/>
    </row>
    <row r="835">
      <c r="A835" s="113"/>
    </row>
    <row r="836">
      <c r="A836" s="113"/>
    </row>
    <row r="837">
      <c r="A837" s="113"/>
    </row>
    <row r="838">
      <c r="A838" s="113"/>
    </row>
    <row r="839">
      <c r="A839" s="113"/>
    </row>
    <row r="840">
      <c r="A840" s="113"/>
    </row>
    <row r="841">
      <c r="A841" s="113"/>
    </row>
    <row r="842">
      <c r="A842" s="113"/>
    </row>
    <row r="843">
      <c r="A843" s="113"/>
    </row>
    <row r="844">
      <c r="A844" s="113"/>
    </row>
    <row r="845">
      <c r="A845" s="113"/>
    </row>
    <row r="846">
      <c r="A846" s="113"/>
    </row>
    <row r="847">
      <c r="A847" s="113"/>
    </row>
    <row r="848">
      <c r="A848" s="113"/>
    </row>
    <row r="849">
      <c r="A849" s="113"/>
    </row>
    <row r="850">
      <c r="A850" s="113"/>
    </row>
    <row r="851">
      <c r="A851" s="113"/>
    </row>
    <row r="852">
      <c r="A852" s="113"/>
    </row>
    <row r="853">
      <c r="A853" s="113"/>
    </row>
    <row r="854">
      <c r="A854" s="113"/>
    </row>
    <row r="855">
      <c r="A855" s="113"/>
    </row>
    <row r="856">
      <c r="A856" s="113"/>
    </row>
    <row r="857">
      <c r="A857" s="113"/>
    </row>
    <row r="858">
      <c r="A858" s="113"/>
    </row>
    <row r="859">
      <c r="A859" s="113"/>
    </row>
    <row r="860">
      <c r="A860" s="113"/>
    </row>
    <row r="861">
      <c r="A861" s="113"/>
    </row>
    <row r="862">
      <c r="A862" s="113"/>
    </row>
    <row r="863">
      <c r="A863" s="113"/>
    </row>
    <row r="864">
      <c r="A864" s="113"/>
    </row>
    <row r="865">
      <c r="A865" s="113"/>
    </row>
    <row r="866">
      <c r="A866" s="113"/>
    </row>
    <row r="867">
      <c r="A867" s="113"/>
    </row>
    <row r="868">
      <c r="A868" s="113"/>
    </row>
    <row r="869">
      <c r="A869" s="113"/>
    </row>
    <row r="870">
      <c r="A870" s="113"/>
    </row>
    <row r="871">
      <c r="A871" s="113"/>
    </row>
    <row r="872">
      <c r="A872" s="113"/>
    </row>
    <row r="873">
      <c r="A873" s="113"/>
    </row>
    <row r="874">
      <c r="A874" s="113"/>
    </row>
    <row r="875">
      <c r="A875" s="113"/>
    </row>
    <row r="876">
      <c r="A876" s="113"/>
    </row>
    <row r="877">
      <c r="A877" s="113"/>
    </row>
    <row r="878">
      <c r="A878" s="113"/>
    </row>
    <row r="879">
      <c r="A879" s="113"/>
    </row>
    <row r="880">
      <c r="A880" s="113"/>
    </row>
    <row r="881">
      <c r="A881" s="113"/>
    </row>
    <row r="882">
      <c r="A882" s="113"/>
    </row>
    <row r="883">
      <c r="A883" s="113"/>
    </row>
    <row r="884">
      <c r="A884" s="113"/>
    </row>
    <row r="885">
      <c r="A885" s="113"/>
    </row>
    <row r="886">
      <c r="A886" s="113"/>
    </row>
    <row r="887">
      <c r="A887" s="113"/>
    </row>
    <row r="888">
      <c r="A888" s="113"/>
    </row>
    <row r="889">
      <c r="A889" s="113"/>
    </row>
    <row r="890">
      <c r="A890" s="113"/>
    </row>
    <row r="891">
      <c r="A891" s="113"/>
    </row>
    <row r="892">
      <c r="A892" s="113"/>
    </row>
    <row r="893">
      <c r="A893" s="113"/>
    </row>
    <row r="894">
      <c r="A894" s="113"/>
    </row>
    <row r="895">
      <c r="A895" s="113"/>
    </row>
    <row r="896">
      <c r="A896" s="113"/>
    </row>
    <row r="897">
      <c r="A897" s="113"/>
    </row>
    <row r="898">
      <c r="A898" s="113"/>
    </row>
    <row r="899">
      <c r="A899" s="113"/>
    </row>
    <row r="900">
      <c r="A900" s="113"/>
    </row>
    <row r="901">
      <c r="A901" s="113"/>
    </row>
    <row r="902">
      <c r="A902" s="113"/>
    </row>
    <row r="903">
      <c r="A903" s="113"/>
    </row>
    <row r="904">
      <c r="A904" s="113"/>
    </row>
    <row r="905">
      <c r="A905" s="113"/>
    </row>
    <row r="906">
      <c r="A906" s="113"/>
    </row>
    <row r="907">
      <c r="A907" s="113"/>
    </row>
    <row r="908">
      <c r="A908" s="113"/>
    </row>
    <row r="909">
      <c r="A909" s="113"/>
    </row>
    <row r="910">
      <c r="A910" s="113"/>
    </row>
    <row r="911">
      <c r="A911" s="113"/>
    </row>
    <row r="912">
      <c r="A912" s="113"/>
    </row>
    <row r="913">
      <c r="A913" s="113"/>
    </row>
    <row r="914">
      <c r="A914" s="113"/>
    </row>
    <row r="915">
      <c r="A915" s="113"/>
    </row>
    <row r="916">
      <c r="A916" s="113"/>
    </row>
    <row r="917">
      <c r="A917" s="113"/>
    </row>
    <row r="918">
      <c r="A918" s="113"/>
    </row>
    <row r="919">
      <c r="A919" s="113"/>
    </row>
    <row r="920">
      <c r="A920" s="113"/>
    </row>
    <row r="921">
      <c r="A921" s="113"/>
    </row>
    <row r="922">
      <c r="A922" s="113"/>
    </row>
    <row r="923">
      <c r="A923" s="113"/>
    </row>
    <row r="924">
      <c r="A924" s="113"/>
    </row>
    <row r="925">
      <c r="A925" s="113"/>
    </row>
    <row r="926">
      <c r="A926" s="113"/>
    </row>
    <row r="927">
      <c r="A927" s="113"/>
    </row>
    <row r="928">
      <c r="A928" s="113"/>
    </row>
    <row r="929">
      <c r="A929" s="113"/>
    </row>
    <row r="930">
      <c r="A930" s="113"/>
    </row>
    <row r="931">
      <c r="A931" s="113"/>
    </row>
    <row r="932">
      <c r="A932" s="113"/>
    </row>
    <row r="933">
      <c r="A933" s="113"/>
    </row>
    <row r="934">
      <c r="A934" s="113"/>
    </row>
    <row r="935">
      <c r="A935" s="113"/>
    </row>
    <row r="936">
      <c r="A936" s="113"/>
    </row>
    <row r="937">
      <c r="A937" s="113"/>
    </row>
    <row r="938">
      <c r="A938" s="113"/>
    </row>
    <row r="939">
      <c r="A939" s="113"/>
    </row>
    <row r="940">
      <c r="A940" s="113"/>
    </row>
    <row r="941">
      <c r="A941" s="113"/>
    </row>
    <row r="942">
      <c r="A942" s="113"/>
    </row>
    <row r="943">
      <c r="A943" s="113"/>
    </row>
    <row r="944">
      <c r="A944" s="113"/>
    </row>
    <row r="945">
      <c r="A945" s="113"/>
    </row>
    <row r="946">
      <c r="A946" s="113"/>
    </row>
    <row r="947">
      <c r="A947" s="113"/>
    </row>
    <row r="948">
      <c r="A948" s="113"/>
    </row>
    <row r="949">
      <c r="A949" s="113"/>
    </row>
    <row r="950">
      <c r="A950" s="113"/>
    </row>
    <row r="951">
      <c r="A951" s="113"/>
    </row>
    <row r="952">
      <c r="A952" s="113"/>
    </row>
    <row r="953">
      <c r="A953" s="113"/>
    </row>
    <row r="954">
      <c r="A954" s="113"/>
    </row>
    <row r="955">
      <c r="A955" s="113"/>
    </row>
    <row r="956">
      <c r="A956" s="113"/>
    </row>
    <row r="957">
      <c r="A957" s="113"/>
    </row>
    <row r="958">
      <c r="A958" s="113"/>
    </row>
    <row r="959">
      <c r="A959" s="113"/>
    </row>
    <row r="960">
      <c r="A960" s="113"/>
    </row>
    <row r="961">
      <c r="A961" s="113"/>
    </row>
    <row r="962">
      <c r="A962" s="113"/>
    </row>
    <row r="963">
      <c r="A963" s="113"/>
    </row>
    <row r="964">
      <c r="A964" s="113"/>
    </row>
    <row r="965">
      <c r="A965" s="113"/>
    </row>
    <row r="966">
      <c r="A966" s="113"/>
    </row>
    <row r="967">
      <c r="A967" s="113"/>
    </row>
    <row r="968">
      <c r="A968" s="113"/>
    </row>
    <row r="969">
      <c r="A969" s="113"/>
    </row>
    <row r="970">
      <c r="A970" s="113"/>
    </row>
    <row r="971">
      <c r="A971" s="113"/>
    </row>
    <row r="972">
      <c r="A972" s="113"/>
    </row>
    <row r="973">
      <c r="A973" s="113"/>
    </row>
    <row r="974">
      <c r="A974" s="113"/>
    </row>
    <row r="975">
      <c r="A975" s="113"/>
    </row>
    <row r="976">
      <c r="A976" s="113"/>
    </row>
    <row r="977">
      <c r="A977" s="113"/>
    </row>
    <row r="978">
      <c r="A978" s="113"/>
    </row>
    <row r="979">
      <c r="A979" s="113"/>
    </row>
    <row r="980">
      <c r="A980" s="113"/>
    </row>
    <row r="981">
      <c r="A981" s="113"/>
    </row>
    <row r="982">
      <c r="A982" s="113"/>
    </row>
    <row r="983">
      <c r="A983" s="113"/>
    </row>
    <row r="984">
      <c r="A984" s="113"/>
    </row>
    <row r="985">
      <c r="A985" s="113"/>
    </row>
  </sheetData>
  <mergeCells count="40">
    <mergeCell ref="L7:L8"/>
    <mergeCell ref="K15:L16"/>
    <mergeCell ref="M15:O15"/>
    <mergeCell ref="P15:P16"/>
    <mergeCell ref="K17:K19"/>
    <mergeCell ref="K20:L20"/>
    <mergeCell ref="A1:I1"/>
    <mergeCell ref="A2:I2"/>
    <mergeCell ref="A4:H4"/>
    <mergeCell ref="G7:H8"/>
    <mergeCell ref="I7:K7"/>
    <mergeCell ref="G9:G11"/>
    <mergeCell ref="G12:H12"/>
    <mergeCell ref="A16:E16"/>
    <mergeCell ref="A23:E23"/>
    <mergeCell ref="A30:E30"/>
    <mergeCell ref="A37:G37"/>
    <mergeCell ref="G38:H39"/>
    <mergeCell ref="I38:K38"/>
    <mergeCell ref="L38:L39"/>
    <mergeCell ref="G40:G42"/>
    <mergeCell ref="A42:D42"/>
    <mergeCell ref="G43:H43"/>
    <mergeCell ref="G45:H46"/>
    <mergeCell ref="I45:K45"/>
    <mergeCell ref="L45:L46"/>
    <mergeCell ref="G47:G49"/>
    <mergeCell ref="A59:B59"/>
    <mergeCell ref="A60:D60"/>
    <mergeCell ref="A74:F74"/>
    <mergeCell ref="A82:F82"/>
    <mergeCell ref="A90:C90"/>
    <mergeCell ref="A98:D98"/>
    <mergeCell ref="G50:H50"/>
    <mergeCell ref="A53:B53"/>
    <mergeCell ref="A54:B54"/>
    <mergeCell ref="A55:B55"/>
    <mergeCell ref="A56:B56"/>
    <mergeCell ref="A57:B57"/>
    <mergeCell ref="A58:B5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